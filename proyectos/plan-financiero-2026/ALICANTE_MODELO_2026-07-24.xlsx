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sumen" sheetId="1" state="visible" r:id="rId1"/>
    <sheet xmlns:r="http://schemas.openxmlformats.org/officeDocument/2006/relationships" name="1_Inputs" sheetId="2" state="visible" r:id="rId2"/>
    <sheet xmlns:r="http://schemas.openxmlformats.org/officeDocument/2006/relationships" name="2_Rehipoteca" sheetId="3" state="visible" r:id="rId3"/>
    <sheet xmlns:r="http://schemas.openxmlformats.org/officeDocument/2006/relationships" name="3_CapacidadDeuda" sheetId="4" state="visible" r:id="rId4"/>
    <sheet xmlns:r="http://schemas.openxmlformats.org/officeDocument/2006/relationships" name="4_Comparativa" sheetId="5" state="visible" r:id="rId5"/>
    <sheet xmlns:r="http://schemas.openxmlformats.org/officeDocument/2006/relationships" name="5_Cronograma36m" sheetId="6" state="visible" r:id="rId6"/>
    <sheet xmlns:r="http://schemas.openxmlformats.org/officeDocument/2006/relationships" name="6_Estres" sheetId="7" state="visible" r:id="rId7"/>
    <sheet xmlns:r="http://schemas.openxmlformats.org/officeDocument/2006/relationships" name="7_Decision" sheetId="8" state="visible" r:id="rId8"/>
    <sheet xmlns:r="http://schemas.openxmlformats.org/officeDocument/2006/relationships" name="8_EscenariosDEF" sheetId="9" state="visible" r:id="rId9"/>
    <sheet xmlns:r="http://schemas.openxmlformats.org/officeDocument/2006/relationships" name="9_Sensibilidad" sheetId="10" state="visible" r:id="rId10"/>
  </sheets>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6">
    <font>
      <name val="Calibri"/>
      <family val="2"/>
      <color theme="1"/>
      <sz val="11"/>
      <scheme val="minor"/>
    </font>
    <font>
      <b val="1"/>
      <sz val="14"/>
    </font>
    <font>
      <i val="1"/>
    </font>
    <font>
      <b val="1"/>
      <color rgb="009C0006"/>
    </font>
    <font>
      <b val="1"/>
    </font>
    <font>
      <b val="1"/>
      <color rgb="00FFFFFF"/>
    </font>
  </fonts>
  <fills count="7">
    <fill>
      <patternFill/>
    </fill>
    <fill>
      <patternFill patternType="gray125"/>
    </fill>
    <fill>
      <patternFill patternType="solid">
        <fgColor rgb="00FFC7CE"/>
        <bgColor rgb="00FFC7CE"/>
      </patternFill>
    </fill>
    <fill>
      <patternFill patternType="solid">
        <fgColor rgb="001F4E78"/>
        <bgColor rgb="001F4E78"/>
      </patternFill>
    </fill>
    <fill>
      <patternFill patternType="solid">
        <fgColor rgb="00FFEB9C"/>
        <bgColor rgb="00FFEB9C"/>
      </patternFill>
    </fill>
    <fill>
      <patternFill patternType="solid">
        <fgColor rgb="00C6E0B4"/>
        <bgColor rgb="00C6E0B4"/>
      </patternFill>
    </fill>
    <fill>
      <patternFill patternType="solid">
        <fgColor rgb="00D9D9D9"/>
        <bgColor rgb="00D9D9D9"/>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0" fontId="0" fillId="3" borderId="0" pivotButton="0" quotePrefix="0" xfId="0"/>
    <xf numFmtId="164" fontId="0" fillId="0" borderId="0" pivotButton="0" quotePrefix="0" xfId="0"/>
    <xf numFmtId="165" fontId="0" fillId="4" borderId="0" pivotButton="0" quotePrefix="0" xfId="0"/>
    <xf numFmtId="164" fontId="0" fillId="2" borderId="0" pivotButton="0" quotePrefix="0" xfId="0"/>
    <xf numFmtId="0" fontId="0" fillId="2" borderId="0" pivotButton="0" quotePrefix="0" xfId="0"/>
    <xf numFmtId="165" fontId="0" fillId="2" borderId="0" pivotButton="0" quotePrefix="0" xfId="0"/>
    <xf numFmtId="0" fontId="3" fillId="0" borderId="0" pivotButton="0" quotePrefix="0" xfId="0"/>
    <xf numFmtId="0" fontId="0" fillId="4" borderId="0" pivotButton="0" quotePrefix="0" xfId="0"/>
    <xf numFmtId="164" fontId="0" fillId="4" borderId="0" pivotButton="0" quotePrefix="0" xfId="0"/>
    <xf numFmtId="164" fontId="4" fillId="5" borderId="0" pivotButton="0" quotePrefix="0" xfId="0"/>
    <xf numFmtId="165" fontId="0" fillId="0" borderId="0" pivotButton="0" quotePrefix="0" xfId="0"/>
    <xf numFmtId="164" fontId="4" fillId="0" borderId="0" pivotButton="0" quotePrefix="0" xfId="0"/>
    <xf numFmtId="0" fontId="3" fillId="0" borderId="0" applyAlignment="1" pivotButton="0" quotePrefix="0" xfId="0">
      <alignment wrapText="1"/>
    </xf>
    <xf numFmtId="0" fontId="5" fillId="3" borderId="0" applyAlignment="1" pivotButton="0" quotePrefix="0" xfId="0">
      <alignment wrapText="1"/>
    </xf>
    <xf numFmtId="0" fontId="5" fillId="6" borderId="0" pivotButton="0" quotePrefix="0" xfId="0"/>
    <xf numFmtId="164" fontId="0" fillId="5" borderId="0" pivotButton="0" quotePrefix="0" xfId="0"/>
    <xf numFmtId="0" fontId="4" fillId="6" borderId="0" pivotButton="0" quotePrefix="0" xfId="0"/>
    <xf numFmtId="164" fontId="4" fillId="4" borderId="0" pivotButton="0" quotePrefix="0" xfId="0"/>
    <xf numFmtId="0" fontId="2" fillId="0" borderId="0" applyAlignment="1" pivotButton="0" quotePrefix="0" xfId="0">
      <alignment wrapText="1"/>
    </xf>
    <xf numFmtId="0" fontId="3" fillId="2" borderId="0" applyAlignment="1" pivotButton="0" quotePrefix="0" xfId="0">
      <alignment wrapText="1"/>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showGridLines="0" workbookViewId="0">
      <selection activeCell="A1" sqref="A1"/>
    </sheetView>
  </sheetViews>
  <sheetFormatPr baseColWidth="8" defaultRowHeight="15" outlineLevelCol="0"/>
  <cols>
    <col width="90" customWidth="1" min="1" max="1"/>
  </cols>
  <sheetData>
    <row r="1">
      <c r="A1" s="1" t="inlineStr">
        <is>
          <t>MODELO EDIFICIO ALICANTE — Resumen ejecutivo</t>
        </is>
      </c>
    </row>
    <row r="2">
      <c r="A2" s="2" t="inlineStr">
        <is>
          <t>Generado 24/07/2026 por George. Datos reales confirmados + supuestos editables (ver pestaña Inputs).</t>
        </is>
      </c>
    </row>
    <row r="4">
      <c r="A4" s="3" t="inlineStr">
        <is>
          <t>⚠️ LEE ESTO PRIMERO</t>
        </is>
      </c>
    </row>
    <row r="6">
      <c r="A6" s="4" t="inlineStr">
        <is>
          <t>1) El techo de endeudamiento (35% sobre nómina neta combinada 3.800€) se come casi entero con la NUEVA cuota de San Antonio</t>
        </is>
      </c>
    </row>
    <row r="7">
      <c r="A7" t="inlineStr">
        <is>
          <t xml:space="preserve">   tras la ampliación a 230.000€ (pasa de 360€/mes a ~1.150-1.200€/mes, según tipo/plazo reales pendientes de confirmar).</t>
        </is>
      </c>
    </row>
    <row r="8">
      <c r="A8" t="inlineStr">
        <is>
          <t xml:space="preserve">   Margen que queda para una hipoteca NUEVA sobre el edificio de Alicante: ver CapacidadDeuda!B7 — es muy poco (revisa el número, es bajo).</t>
        </is>
      </c>
    </row>
    <row r="9">
      <c r="A9" t="inlineStr"/>
    </row>
    <row r="10">
      <c r="A10" s="4" t="inlineStr">
        <is>
          <t>2) Ese cálculo usa SOLO nóminas. Los bancos, en hipotecas de inversión/alquiler, suelen contar un % (50-100%) de la renta</t>
        </is>
      </c>
    </row>
    <row r="11">
      <c r="A11" t="inlineStr">
        <is>
          <t xml:space="preserve">   futura estimada como ingreso adicional para el DSTI. SIN verificar esto con el banco, los 3 escenarios pueden parecer</t>
        </is>
      </c>
    </row>
    <row r="12">
      <c r="A12" t="inlineStr">
        <is>
          <t xml:space="preserve">   'no financiables' cuando en la práctica sí lo son. Es la pregunta más importante que tienes que hacerle a tu banco.</t>
        </is>
      </c>
    </row>
    <row r="13">
      <c r="A13" t="inlineStr"/>
    </row>
    <row r="14">
      <c r="A14" s="4" t="inlineStr">
        <is>
          <t>3) OJO: los 230.000€ de la rehipoteca ING que usas aquí como base ya están comprometidos en OTRO plan activo</t>
        </is>
      </c>
    </row>
    <row r="15">
      <c r="A15" t="inlineStr">
        <is>
          <t xml:space="preserve">   (compra de vivienda principal en Ibiza: 230k + 130k nueva hipoteca = 360k, dejando solo 100k libres para 2ª operación</t>
        </is>
      </c>
    </row>
    <row r="16">
      <c r="A16" t="inlineStr">
        <is>
          <t xml:space="preserve">   con Karina — ver proyectos/busqueda-vivienda/estructura-financiera.md). Si metes los 230k enteros en Alicante,</t>
        </is>
      </c>
    </row>
    <row r="17">
      <c r="A17" t="inlineStr">
        <is>
          <t xml:space="preserve">   no tienes financiación para la vivienda principal. Decide cuál es la prioridad antes de firmar nada.</t>
        </is>
      </c>
    </row>
    <row r="18">
      <c r="A18" t="inlineStr"/>
    </row>
    <row r="19">
      <c r="A19" t="inlineStr">
        <is>
          <t>4) Ver pestaña 4_Comparativa fila 'Financiable' y fila 'Liquidez cubre fondos propios' para cada escenario.</t>
        </is>
      </c>
    </row>
    <row r="20">
      <c r="A20" t="inlineStr">
        <is>
          <t>5) Ver pestaña 5_Cronograma36m para el PUNTO DE MÁXIMA TENSIÓN DE CAJA de cada escenario — el número que decide viabilidad real.</t>
        </is>
      </c>
    </row>
    <row r="21">
      <c r="A21" t="inlineStr">
        <is>
          <t>6) Ver pestaña 6_Estres para saber si el plan sobrevive a retraso de licencia + sobrecoste + vacancia extra.</t>
        </is>
      </c>
    </row>
    <row r="23">
      <c r="A23" s="4" t="inlineStr">
        <is>
          <t>CONCLUSIÓN RÁPIDA POR ESCENARIO (fórmulas vivas, se actualizan si cambias Inputs):</t>
        </is>
      </c>
    </row>
    <row r="25">
      <c r="A25" s="5" t="inlineStr">
        <is>
          <t>Escenario</t>
        </is>
      </c>
      <c r="B25" s="5" t="inlineStr">
        <is>
          <t>A (200k interior)</t>
        </is>
      </c>
      <c r="C25" s="5" t="inlineStr">
        <is>
          <t>B (275k intermedio)</t>
        </is>
      </c>
      <c r="D25" s="5" t="inlineStr">
        <is>
          <t>C (350k capital/costa)</t>
        </is>
      </c>
    </row>
    <row r="26">
      <c r="A26" t="inlineStr">
        <is>
          <t>¿Financiable solo con nóminas?</t>
        </is>
      </c>
      <c r="B26">
        <f>'4_Comparativa'!C21</f>
        <v/>
      </c>
      <c r="C26">
        <f>'4_Comparativa'!D21</f>
        <v/>
      </c>
      <c r="D26">
        <f>'4_Comparativa'!E21</f>
        <v/>
      </c>
    </row>
    <row r="27">
      <c r="A27" t="inlineStr">
        <is>
          <t>¿Liquidez rehipoteca cubre fondos propios?</t>
        </is>
      </c>
      <c r="B27">
        <f>'4_Comparativa'!C57</f>
        <v/>
      </c>
      <c r="C27">
        <f>'4_Comparativa'!D57</f>
        <v/>
      </c>
      <c r="D27">
        <f>'4_Comparativa'!E57</f>
        <v/>
      </c>
    </row>
    <row r="28">
      <c r="A28" t="inlineStr">
        <is>
          <t>Punto de máxima tensión de caja (€)</t>
        </is>
      </c>
      <c r="B28" s="7">
        <f>'5_Cronograma36m'!I42</f>
        <v/>
      </c>
      <c r="C28" s="7">
        <f>'5_Cronograma36m'!I85</f>
        <v/>
      </c>
      <c r="D28" s="7">
        <f>'5_Cronograma36m'!I128</f>
        <v/>
      </c>
    </row>
    <row r="29">
      <c r="A29" t="inlineStr">
        <is>
          <t>¿Sobrevive el estrés combinado?</t>
        </is>
      </c>
      <c r="B29">
        <f>'6_Estres'!C10</f>
        <v/>
      </c>
      <c r="C29">
        <f>'6_Estres'!D10</f>
        <v/>
      </c>
      <c r="D29">
        <f>'6_Estres'!E10</f>
        <v/>
      </c>
    </row>
    <row r="32" ht="70" customHeight="1">
      <c r="A32" s="25" t="inlineStr">
        <is>
          <t>⚠️ RIESGO CRÍTICO (añadido 24/07 v2): el valor de San Antonio (350.000€, BBVA no oficial) usado en este modelo no está confirmado — José Luis ha manejado también 200.000€ en otras conversaciones. La ampliación de 230.000€ solo es coherente con una tasación real de ~330-350k. Si sale más baja, la ampliación completa puede NO ser alcanzable. Ver tabla de sensibilidad en 9_Sensibilidad (fila 'AMPLIACIÓN MÁXIMA TEÓRICA').</t>
        </is>
      </c>
    </row>
    <row r="33"/>
    <row r="34"/>
    <row r="36">
      <c r="A36" s="4" t="inlineStr">
        <is>
          <t>RENTABILIDAD NETA vs TIPO LIBRE DE RIESGO (¿compensa el riesgo/obra?)</t>
        </is>
      </c>
    </row>
    <row r="37">
      <c r="B37" t="inlineStr">
        <is>
          <t>Escenario A</t>
        </is>
      </c>
      <c r="C37" t="inlineStr">
        <is>
          <t>Escenario B</t>
        </is>
      </c>
      <c r="D37" t="inlineStr">
        <is>
          <t>Escenario C</t>
        </is>
      </c>
    </row>
    <row r="38">
      <c r="A38" t="inlineStr">
        <is>
          <t>¿Bate la alternativa sin riesgo?</t>
        </is>
      </c>
      <c r="B38">
        <f>'9_Sensibilidad'!C26</f>
        <v/>
      </c>
      <c r="C38">
        <f>'9_Sensibilidad'!D26</f>
        <v/>
      </c>
      <c r="D38">
        <f>'9_Sensibilidad'!E26</f>
        <v/>
      </c>
    </row>
    <row r="40">
      <c r="A40" s="4" t="inlineStr">
        <is>
          <t>% de renta que el banco debe contar para hacer financiable cada escenario:</t>
        </is>
      </c>
    </row>
    <row r="41">
      <c r="A41" t="inlineStr">
        <is>
          <t>Veredicto por escenario</t>
        </is>
      </c>
      <c r="B41">
        <f>'9_Sensibilidad'!C36</f>
        <v/>
      </c>
      <c r="C41">
        <f>'9_Sensibilidad'!D36</f>
        <v/>
      </c>
      <c r="D41">
        <f>'9_Sensibilidad'!E36</f>
        <v/>
      </c>
    </row>
    <row r="43">
      <c r="A43" s="5" t="inlineStr">
        <is>
          <t>CONCLUSIÓN FINAL — mejor opción de todas las evaluadas:</t>
        </is>
      </c>
      <c r="B43" s="6" t="n"/>
      <c r="C43" s="6" t="n"/>
      <c r="D43" s="6" t="n"/>
    </row>
    <row r="44" ht="60" customHeight="1">
      <c r="A44" s="26">
        <f>IF('7_Decision'!C14&gt;'7_Decision'!D14,"Vivienda principal (retorno 10a "&amp;TEXT('7_Decision'!C14,"#,##0")&amp;"€) gana a Alicante-C (retorno 10a "&amp;TEXT('7_Decision'!D14,"#,##0")&amp;"€). Además, Alicante-C ya sale NO financiable con nóminas — ver 4_Comparativa.","Alicante-C (retorno 10a "&amp;TEXT('7_Decision'!D14,"#,##0")&amp;"€) supera en el papel a vivienda principal (retorno 10a "&amp;TEXT('7_Decision'!C14,"#,##0")&amp;"€), PERO no es ejecutable hoy: no financiable con nóminas y falta liquidez para fondos propios — ver 4_Comparativa.")</f>
        <v/>
      </c>
    </row>
    <row r="45"/>
    <row r="46"/>
  </sheetData>
  <mergeCells count="2">
    <mergeCell ref="A32:D34"/>
    <mergeCell ref="A44:D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4"/>
  <sheetViews>
    <sheetView showGridLines="0" workbookViewId="0">
      <selection activeCell="A1" sqref="A1"/>
    </sheetView>
  </sheetViews>
  <sheetFormatPr baseColWidth="8" defaultRowHeight="15" outlineLevelCol="0"/>
  <cols>
    <col width="55" customWidth="1" min="1" max="1"/>
    <col width="20" customWidth="1" min="2" max="2"/>
    <col width="45" customWidth="1" min="3" max="3"/>
  </cols>
  <sheetData>
    <row r="1">
      <c r="A1" s="1" t="inlineStr">
        <is>
          <t>INPUTS — datos reales y supuestos de cálculo</t>
        </is>
      </c>
    </row>
    <row r="2">
      <c r="A2" s="2" t="inlineStr">
        <is>
          <t>Rojo = dato real pendiente de confirmar (no inventado). Amarillo = supuesto editable usado en los cálculos.</t>
        </is>
      </c>
    </row>
    <row r="4">
      <c r="A4" s="5" t="inlineStr">
        <is>
          <t>DATOS REALES CONFIRMADOS</t>
        </is>
      </c>
      <c r="B4" s="6" t="n"/>
      <c r="C4" s="6" t="n"/>
    </row>
    <row r="5">
      <c r="A5" t="inlineStr">
        <is>
          <t>Nómina neta José Luis (€/mes) — confirmado 24/07/2026</t>
        </is>
      </c>
      <c r="B5" s="7" t="n">
        <v>2200</v>
      </c>
    </row>
    <row r="6">
      <c r="A6" t="inlineStr">
        <is>
          <t>Nómina neta Karina (€/mes) — confirmado 24/07/2026</t>
        </is>
      </c>
      <c r="B6" s="7" t="n">
        <v>1600</v>
      </c>
    </row>
    <row r="7">
      <c r="A7" t="inlineStr">
        <is>
          <t>Total combinado (€/mes)</t>
        </is>
      </c>
      <c r="B7" s="7">
        <f>B5+B6</f>
        <v/>
      </c>
    </row>
    <row r="8">
      <c r="A8" t="inlineStr">
        <is>
          <t>Techo endeudamiento asumido (% ingresos netos, regla DSTI bancaria estándar)</t>
        </is>
      </c>
      <c r="B8" s="8" t="n">
        <v>0.35</v>
      </c>
    </row>
    <row r="9">
      <c r="A9" t="inlineStr">
        <is>
          <t>Techo endeudamiento (€/mes)</t>
        </is>
      </c>
      <c r="B9" s="7">
        <f>B7*B8</f>
        <v/>
      </c>
    </row>
    <row r="11">
      <c r="A11" s="5" t="inlineStr">
        <is>
          <t>PISO SAN ANTONIO (Ibiza)</t>
        </is>
      </c>
      <c r="B11" s="6" t="n"/>
      <c r="C11" s="6" t="n"/>
    </row>
    <row r="12">
      <c r="A12" t="inlineStr">
        <is>
          <t>Valor estimado (BBVA, no oficial)</t>
        </is>
      </c>
      <c r="B12" s="7" t="n">
        <v>350000</v>
      </c>
    </row>
    <row r="13">
      <c r="A13" t="inlineStr">
        <is>
          <t>Tasación oficial (€) — PENDIENTE</t>
        </is>
      </c>
      <c r="B13" s="9" t="n"/>
    </row>
    <row r="14">
      <c r="A14" t="inlineStr">
        <is>
          <t>Hipoteca viva actual (€)</t>
        </is>
      </c>
      <c r="B14" s="7" t="n">
        <v>60000</v>
      </c>
    </row>
    <row r="15">
      <c r="A15" t="inlineStr">
        <is>
          <t>Cuota actual (€/mes)</t>
        </is>
      </c>
      <c r="B15" s="7" t="n">
        <v>360</v>
      </c>
    </row>
    <row r="17">
      <c r="A17" s="5" t="inlineStr">
        <is>
          <t>OFERTA AMPLIACIÓN DE CAPITAL (rehipoteca ING)</t>
        </is>
      </c>
      <c r="B17" s="6" t="n"/>
      <c r="C17" s="6" t="n"/>
    </row>
    <row r="18">
      <c r="A18" t="inlineStr">
        <is>
          <t>Importe ampliación (€) — pre-aprobado ING (ver estructura-financiera.md)</t>
        </is>
      </c>
      <c r="B18" s="7" t="n">
        <v>230000</v>
      </c>
    </row>
    <row r="19">
      <c r="A19" t="inlineStr">
        <is>
          <t>Plazo real de la oferta (años) — PENDIENTE</t>
        </is>
      </c>
      <c r="B19" s="10" t="n"/>
    </row>
    <row r="20">
      <c r="A20" t="inlineStr">
        <is>
          <t>Tipo interés real de la oferta (%) — PENDIENTE</t>
        </is>
      </c>
      <c r="B20" s="11" t="n"/>
    </row>
    <row r="21">
      <c r="A21" t="inlineStr">
        <is>
          <t>Estado de la oferta</t>
        </is>
      </c>
      <c r="B21" s="10" t="inlineStr">
        <is>
          <t>Pre-aprobada ING — condiciones exactas (plazo/tipo/vinculante por escrito) pendientes de confirmar</t>
        </is>
      </c>
    </row>
    <row r="22">
      <c r="A22" s="12" t="inlineStr">
        <is>
          <t>⚠️ Estos 230k están comprometidos en el plan de compra de vivienda principal (230k+130k=360k, dejando 100k libres). Revisar antes de usarlos aquí.</t>
        </is>
      </c>
    </row>
    <row r="24">
      <c r="A24" s="5" t="inlineStr">
        <is>
          <t>SITUACIÓN LEGAL — IMPAGO SAN ANTONIO</t>
        </is>
      </c>
      <c r="B24" s="6" t="n"/>
      <c r="C24" s="6" t="n"/>
    </row>
    <row r="25">
      <c r="A25" t="inlineStr">
        <is>
          <t>Estado</t>
        </is>
      </c>
      <c r="B25" t="inlineStr">
        <is>
          <t>Burofax enviado 09/07/2026. En plazo de respuesta antes de que Ginés meta el pleito de desahucio.</t>
        </is>
      </c>
    </row>
    <row r="27">
      <c r="A27" s="5" t="inlineStr">
        <is>
          <t>SUPUESTOS DE CÁLCULO (editables — sólo se usan si dejas en blanco los reales de arriba)</t>
        </is>
      </c>
      <c r="B27" s="6" t="n"/>
      <c r="C27" s="6" t="n"/>
    </row>
    <row r="28">
      <c r="A28" t="inlineStr">
        <is>
          <t>Plazo asumido ampliación (años)</t>
        </is>
      </c>
      <c r="B28" s="13" t="n">
        <v>25</v>
      </c>
    </row>
    <row r="29">
      <c r="A29" t="inlineStr">
        <is>
          <t>Tipo interés asumido ampliación (%)</t>
        </is>
      </c>
      <c r="B29" s="8" t="n">
        <v>0.035</v>
      </c>
    </row>
    <row r="30">
      <c r="A30" t="inlineStr">
        <is>
          <t>Comisión cancelación hipoteca actual (%)</t>
        </is>
      </c>
      <c r="B30" s="8" t="n">
        <v>0.005</v>
      </c>
    </row>
    <row r="31">
      <c r="A31" t="inlineStr">
        <is>
          <t>Gastos tasación ampliación (€)</t>
        </is>
      </c>
      <c r="B31" s="14" t="n">
        <v>400</v>
      </c>
    </row>
    <row r="32">
      <c r="A32" t="inlineStr">
        <is>
          <t>Gastos notaría ampliación (€)</t>
        </is>
      </c>
      <c r="B32" s="14" t="n">
        <v>700</v>
      </c>
    </row>
    <row r="33">
      <c r="A33" t="inlineStr">
        <is>
          <t>Gastos registro ampliación (€)</t>
        </is>
      </c>
      <c r="B33" s="14" t="n">
        <v>450</v>
      </c>
    </row>
    <row r="34">
      <c r="A34" t="inlineStr">
        <is>
          <t>Gestoría ampliación (€)</t>
        </is>
      </c>
      <c r="B34" s="14" t="n">
        <v>300</v>
      </c>
    </row>
    <row r="35">
      <c r="A35" t="inlineStr">
        <is>
          <t>AJD ampliación Baleares (% s/ importe ampliado)</t>
        </is>
      </c>
      <c r="B35" s="8" t="n">
        <v>0.012</v>
      </c>
    </row>
    <row r="36">
      <c r="A36" t="inlineStr">
        <is>
          <t>Descuento tasación edificio vacío vs precio (%)</t>
        </is>
      </c>
      <c r="B36" s="8" t="n">
        <v>0.175</v>
      </c>
    </row>
    <row r="37">
      <c r="A37" t="inlineStr">
        <is>
          <t>LTV máximo edificio inversión (%)</t>
        </is>
      </c>
      <c r="B37" s="8" t="n">
        <v>0.7</v>
      </c>
    </row>
    <row r="38">
      <c r="A38" t="inlineStr">
        <is>
          <t>Tipo interés hipoteca nueva edificio (%)</t>
        </is>
      </c>
      <c r="B38" s="8" t="n">
        <v>0.0375</v>
      </c>
    </row>
    <row r="39">
      <c r="A39" t="inlineStr">
        <is>
          <t>Plazo hipoteca nueva edificio (años)</t>
        </is>
      </c>
      <c r="B39" s="13" t="n">
        <v>25</v>
      </c>
    </row>
    <row r="40">
      <c r="A40" t="inlineStr">
        <is>
          <t>ITP Comunidad Valenciana (%)</t>
        </is>
      </c>
      <c r="B40" s="8" t="n">
        <v>0.1</v>
      </c>
    </row>
    <row r="41">
      <c r="A41" t="inlineStr">
        <is>
          <t>Notaría+registro+gestoría edificio (€, estimado fijo)</t>
        </is>
      </c>
      <c r="B41" s="14" t="n">
        <v>2500</v>
      </c>
    </row>
    <row r="42">
      <c r="A42" t="inlineStr">
        <is>
          <t>Vacancia anual (%)</t>
        </is>
      </c>
      <c r="B42" s="8" t="n">
        <v>0.08</v>
      </c>
    </row>
    <row r="43">
      <c r="A43" t="inlineStr">
        <is>
          <t>IBI anual por unidad (€)</t>
        </is>
      </c>
      <c r="B43" s="14" t="n">
        <v>300</v>
      </c>
    </row>
    <row r="44">
      <c r="A44" t="inlineStr">
        <is>
          <t>Comunidad anual por unidad (€)</t>
        </is>
      </c>
      <c r="B44" s="14" t="n">
        <v>240</v>
      </c>
    </row>
    <row r="45">
      <c r="A45" t="inlineStr">
        <is>
          <t>Seguro anual por unidad (€)</t>
        </is>
      </c>
      <c r="B45" s="14" t="n">
        <v>150</v>
      </c>
    </row>
    <row r="46">
      <c r="A46" t="inlineStr">
        <is>
          <t>Mantenimiento anual (% s/ renta bruta)</t>
        </is>
      </c>
      <c r="B46" s="8" t="n">
        <v>0.05</v>
      </c>
    </row>
    <row r="47">
      <c r="A47" t="inlineStr">
        <is>
          <t>IRPF marginal aplicable (%)</t>
        </is>
      </c>
      <c r="B47" s="8" t="n">
        <v>0.3</v>
      </c>
    </row>
    <row r="48">
      <c r="A48" t="inlineStr">
        <is>
          <t>Materiales reforma (€/m²)</t>
        </is>
      </c>
      <c r="B48" s="14" t="n">
        <v>250</v>
      </c>
    </row>
    <row r="49">
      <c r="A49" t="inlineStr">
        <is>
          <t>Mano de obra externa reforma (€/m²) — reducida: instalaciones/HVAC/acabados los haces tú</t>
        </is>
      </c>
      <c r="B49" s="14" t="n">
        <v>150</v>
      </c>
    </row>
    <row r="50">
      <c r="A50" t="inlineStr">
        <is>
          <t>Proyecto + licencias por edificio (€, fijo)</t>
        </is>
      </c>
      <c r="B50" s="14" t="n">
        <v>6000</v>
      </c>
    </row>
    <row r="51">
      <c r="A51" t="inlineStr">
        <is>
          <t>Superficie por unidad (m²)</t>
        </is>
      </c>
      <c r="B51" s="13" t="n">
        <v>55</v>
      </c>
    </row>
    <row r="52">
      <c r="A52" t="inlineStr">
        <is>
          <t>Nº unidades por edificio</t>
        </is>
      </c>
      <c r="B52" s="13" t="n">
        <v>6</v>
      </c>
    </row>
    <row r="53">
      <c r="A53" t="inlineStr">
        <is>
          <t>Duración reforma por planta (meses)</t>
        </is>
      </c>
      <c r="B53" s="13" t="n">
        <v>4</v>
      </c>
    </row>
    <row r="55">
      <c r="A55" s="5" t="inlineStr">
        <is>
          <t>SUPUESTOS ADICIONALES — REVISIÓN 24/07/2026 (v2)</t>
        </is>
      </c>
      <c r="B55" s="6" t="n"/>
      <c r="C55" s="6" t="n"/>
    </row>
    <row r="56">
      <c r="A56" t="inlineStr">
        <is>
          <t>Tipo libre de riesgo, referencia (%)</t>
        </is>
      </c>
      <c r="B56" s="8" t="n">
        <v>0.03</v>
      </c>
    </row>
    <row r="57">
      <c r="A57" t="inlineStr">
        <is>
          <t>Ingresos mensuales extra (Piticlean/Maia) (€) — PENDIENTE, sin facturar aún</t>
        </is>
      </c>
      <c r="B57" s="9" t="n"/>
    </row>
    <row r="58">
      <c r="A58" t="inlineStr">
        <is>
          <t>% de esos ingresos extra computable por el banco en DSTI (%)</t>
        </is>
      </c>
      <c r="B58" s="8" t="n">
        <v>0</v>
      </c>
    </row>
    <row r="59">
      <c r="A59" t="inlineStr">
        <is>
          <t>¿Banco computa renta futura del alquiler para el DSTI? (%) — PENDIENTE, confirmar con banco</t>
        </is>
      </c>
      <c r="B59" s="11" t="n">
        <v>0</v>
      </c>
    </row>
    <row r="60">
      <c r="A60" t="inlineStr">
        <is>
          <t>LTV máximo vivienda habitual, para sensibilidad ampliación (%)</t>
        </is>
      </c>
      <c r="B60" s="8" t="n">
        <v>0.8</v>
      </c>
    </row>
    <row r="61">
      <c r="A61" t="inlineStr">
        <is>
          <t>Alquiler vivienda actual (€/mes) — confirmado 24/07/2026</t>
        </is>
      </c>
      <c r="B61" s="7" t="n">
        <v>2000</v>
      </c>
    </row>
    <row r="62">
      <c r="A62" t="inlineStr">
        <is>
          <t>Escenario D — Precio edificio compra al contado (€)</t>
        </is>
      </c>
      <c r="B62" s="14" t="n">
        <v>150000</v>
      </c>
    </row>
    <row r="63">
      <c r="A63" t="inlineStr">
        <is>
          <t>Renta mensual por unidad asumida para Escenario D (€)</t>
        </is>
      </c>
      <c r="B63" s="14" t="n">
        <v>300</v>
      </c>
    </row>
    <row r="64">
      <c r="A64" t="inlineStr">
        <is>
          <t>Escenario E — Precio de venta por unidad 55m², zona interior (€)</t>
        </is>
      </c>
      <c r="B64" s="14" t="n">
        <v>75000</v>
      </c>
    </row>
    <row r="65">
      <c r="A65" t="inlineStr">
        <is>
          <t>Escenario E — Precio de venta por unidad 55m², zona intermedia (€)</t>
        </is>
      </c>
      <c r="B65" s="14" t="n">
        <v>100000</v>
      </c>
    </row>
    <row r="66">
      <c r="A66" t="inlineStr">
        <is>
          <t>Escenario E — Precio de venta por unidad 55m², capital/costa (€)</t>
        </is>
      </c>
      <c r="B66" s="14" t="n">
        <v>135000</v>
      </c>
    </row>
    <row r="67">
      <c r="A67" t="inlineStr">
        <is>
          <t>Plusvalía municipal estimada (€/unidad vendida)</t>
        </is>
      </c>
      <c r="B67" s="14" t="n">
        <v>1200</v>
      </c>
    </row>
    <row r="68">
      <c r="A68" t="inlineStr">
        <is>
          <t>IRPF ganancia patrimonial aplicable (%)</t>
        </is>
      </c>
      <c r="B68" s="8" t="n">
        <v>0.21</v>
      </c>
    </row>
    <row r="69">
      <c r="A69" t="inlineStr">
        <is>
          <t xml:space="preserve">Meses de comercialización tras reforma (venta) </t>
        </is>
      </c>
      <c r="B69" s="13" t="n">
        <v>3</v>
      </c>
    </row>
    <row r="70">
      <c r="A70" t="inlineStr">
        <is>
          <t>Revalorización anual inmuebles asumida (%)</t>
        </is>
      </c>
      <c r="B70" s="8" t="n">
        <v>0.03</v>
      </c>
    </row>
    <row r="71">
      <c r="A71" t="inlineStr">
        <is>
          <t>Precio objetivo negociado vivienda principal Ibiza (€) — ver busqueda-vivienda</t>
        </is>
      </c>
      <c r="B71" s="14" t="n">
        <v>340000</v>
      </c>
    </row>
    <row r="72">
      <c r="A72" t="inlineStr">
        <is>
          <t>Importe nueva hipoteca vivienda principal, adicional (€)</t>
        </is>
      </c>
      <c r="B72" s="14" t="n">
        <v>130000</v>
      </c>
    </row>
    <row r="73">
      <c r="A73" t="inlineStr">
        <is>
          <t>Tipo interés hipoteca nueva vivienda principal (%)</t>
        </is>
      </c>
      <c r="B73" s="8" t="n">
        <v>0.032</v>
      </c>
    </row>
    <row r="74">
      <c r="A74" t="inlineStr">
        <is>
          <t>Plazo hipoteca nueva vivienda principal (años)</t>
        </is>
      </c>
      <c r="B74" s="13"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outlineLevelCol="0"/>
  <cols>
    <col width="45" customWidth="1" min="1" max="1"/>
    <col width="18" customWidth="1" min="2" max="2"/>
  </cols>
  <sheetData>
    <row r="1">
      <c r="A1" s="1" t="inlineStr">
        <is>
          <t>REHIPOTECA — liquidez neta real</t>
        </is>
      </c>
    </row>
    <row r="3">
      <c r="A3" t="inlineStr">
        <is>
          <t>Importe ampliación (€)</t>
        </is>
      </c>
      <c r="B3" s="7">
        <f>'1_Inputs'!$B$18</f>
        <v/>
      </c>
    </row>
    <row r="4">
      <c r="A4" t="inlineStr">
        <is>
          <t>Hipoteca actual a cancelar (€)</t>
        </is>
      </c>
      <c r="B4" s="7">
        <f>'1_Inputs'!$B$14</f>
        <v/>
      </c>
    </row>
    <row r="5">
      <c r="A5" t="inlineStr">
        <is>
          <t>Comisión cancelación (€)</t>
        </is>
      </c>
      <c r="B5" s="7">
        <f>B4*'1_Inputs'!$B$30</f>
        <v/>
      </c>
    </row>
    <row r="6">
      <c r="A6" t="inlineStr">
        <is>
          <t>Gastos tasación (€)</t>
        </is>
      </c>
      <c r="B6" s="7">
        <f>'1_Inputs'!$B$31</f>
        <v/>
      </c>
    </row>
    <row r="7">
      <c r="A7" t="inlineStr">
        <is>
          <t>Gastos notaría (€)</t>
        </is>
      </c>
      <c r="B7" s="7">
        <f>'1_Inputs'!$B$32</f>
        <v/>
      </c>
    </row>
    <row r="8">
      <c r="A8" t="inlineStr">
        <is>
          <t>Gastos registro (€)</t>
        </is>
      </c>
      <c r="B8" s="7">
        <f>'1_Inputs'!$B$33</f>
        <v/>
      </c>
    </row>
    <row r="9">
      <c r="A9" t="inlineStr">
        <is>
          <t>Gestoría (€)</t>
        </is>
      </c>
      <c r="B9" s="7">
        <f>'1_Inputs'!$B$34</f>
        <v/>
      </c>
    </row>
    <row r="10">
      <c r="A10" t="inlineStr">
        <is>
          <t>AJD (%s/importe ampliado) (€)</t>
        </is>
      </c>
      <c r="B10" s="7">
        <f>(B3-B4)*'1_Inputs'!$B$35</f>
        <v/>
      </c>
    </row>
    <row r="11">
      <c r="A11" s="4" t="inlineStr">
        <is>
          <t>TOTAL GASTOS OPERACIÓN (€)</t>
        </is>
      </c>
      <c r="B11" s="7">
        <f>SUM(B5:B10)</f>
        <v/>
      </c>
    </row>
    <row r="12">
      <c r="A12" s="4" t="inlineStr">
        <is>
          <t>LIQUIDEZ NETA DISPONIBLE (€)</t>
        </is>
      </c>
      <c r="B12" s="15">
        <f>B3-B4-B11</f>
        <v/>
      </c>
    </row>
    <row r="14">
      <c r="A14" t="inlineStr">
        <is>
          <t>Plazo utilizado en el cálculo (años)</t>
        </is>
      </c>
      <c r="B14">
        <f>IF('1_Inputs'!$B$19="",'1_Inputs'!$B$28,'1_Inputs'!$B$19)</f>
        <v/>
      </c>
    </row>
    <row r="15">
      <c r="A15" t="inlineStr">
        <is>
          <t>Tipo interés utilizado (%)</t>
        </is>
      </c>
      <c r="B15" s="16">
        <f>IF('1_Inputs'!$B$20="",'1_Inputs'!$B$29,'1_Inputs'!$B$20)</f>
        <v/>
      </c>
    </row>
    <row r="16">
      <c r="A16" t="inlineStr">
        <is>
          <t>CUOTA MENSUAL NUEVA SAN ANTONIO (€)</t>
        </is>
      </c>
      <c r="B16" s="17">
        <f>PMT(B15/12,B14*12,-B3)</f>
        <v/>
      </c>
    </row>
    <row r="17">
      <c r="A17" t="inlineStr">
        <is>
          <t>Cuota antigua San Antonio (referencia) (€)</t>
        </is>
      </c>
      <c r="B17" s="7">
        <f>'1_Inputs'!$B$15</f>
        <v/>
      </c>
    </row>
    <row r="18">
      <c r="A18" t="inlineStr">
        <is>
          <t>Diferencia mensual (€)</t>
        </is>
      </c>
      <c r="B18" s="7">
        <f>B16-B17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outlineLevelCol="0"/>
  <cols>
    <col width="55" customWidth="1" min="1" max="1"/>
    <col width="18" customWidth="1" min="2" max="2"/>
  </cols>
  <sheetData>
    <row r="1">
      <c r="A1" s="1" t="inlineStr">
        <is>
          <t>CAPACIDAD DE DEUDA — margen tras San Antonio</t>
        </is>
      </c>
    </row>
    <row r="3">
      <c r="A3" t="inlineStr">
        <is>
          <t>Ingresos netos combinados (€/mes)</t>
        </is>
      </c>
      <c r="B3" s="7">
        <f>'1_Inputs'!$B$7</f>
        <v/>
      </c>
    </row>
    <row r="4">
      <c r="A4" t="inlineStr">
        <is>
          <t>Techo endeudamiento (%)</t>
        </is>
      </c>
      <c r="B4" s="16">
        <f>'1_Inputs'!$B$8</f>
        <v/>
      </c>
    </row>
    <row r="5">
      <c r="A5" t="inlineStr">
        <is>
          <t>TECHO ENDEUDAMIENTO (€/mes)</t>
        </is>
      </c>
      <c r="B5" s="17">
        <f>B3*B4</f>
        <v/>
      </c>
    </row>
    <row r="6">
      <c r="A6" t="inlineStr">
        <is>
          <t>Cuota nueva San Antonio (€/mes)</t>
        </is>
      </c>
      <c r="B6" s="7">
        <f>'2_Rehipoteca'!$B$16</f>
        <v/>
      </c>
    </row>
    <row r="7">
      <c r="A7" t="inlineStr">
        <is>
          <t>MARGEN DISPONIBLE PARA NUEVA HIPOTECA (€/mes)</t>
        </is>
      </c>
      <c r="B7" s="15">
        <f>B5-B6</f>
        <v/>
      </c>
    </row>
    <row r="9">
      <c r="A9" t="inlineStr">
        <is>
          <t>Tipo interés hipoteca nueva edificio (%)</t>
        </is>
      </c>
      <c r="B9" s="16">
        <f>'1_Inputs'!$B$38</f>
        <v/>
      </c>
    </row>
    <row r="10">
      <c r="A10" t="inlineStr">
        <is>
          <t>Plazo hipoteca nueva edificio (años)</t>
        </is>
      </c>
      <c r="B10">
        <f>'1_Inputs'!$B$39</f>
        <v/>
      </c>
    </row>
    <row r="11">
      <c r="A11" t="inlineStr">
        <is>
          <t>Capital hipotecable al plazo asumido (€)</t>
        </is>
      </c>
      <c r="B11" s="7">
        <f>IF(B7&lt;=0,0,PV(B9/12,B10*12,-B7))</f>
        <v/>
      </c>
    </row>
    <row r="12">
      <c r="A12" t="inlineStr">
        <is>
          <t>Capital hipotecable a 20 años (€)</t>
        </is>
      </c>
      <c r="B12" s="7">
        <f>IF(B7&lt;=0,0,PV(B9/12,20*12,-B7))</f>
        <v/>
      </c>
    </row>
    <row r="13">
      <c r="A13" t="inlineStr">
        <is>
          <t>Capital hipotecable a 30 años (€)</t>
        </is>
      </c>
      <c r="B13" s="7">
        <f>IF(B7&lt;=0,0,PV(B9/12,30*12,-B7))</f>
        <v/>
      </c>
    </row>
    <row r="15" ht="60" customHeight="1">
      <c r="A15" s="18" t="inlineStr">
        <is>
          <t>⚠️ NOTA: este margen se calcula SOLO con nóminas. En hipotecas de inversión/alquiler, muchos bancos cuentan un % (50-100%) de la renta futura estimada como ingreso adicional para el DSTI. Verifica esto con el banco antes de descartar un escenario solo por este número.</t>
        </is>
      </c>
    </row>
    <row r="16"/>
    <row r="17"/>
  </sheetData>
  <mergeCells count="1">
    <mergeCell ref="A15:C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57"/>
  <sheetViews>
    <sheetView showGridLines="0" workbookViewId="0">
      <selection activeCell="A1" sqref="A1"/>
    </sheetView>
  </sheetViews>
  <sheetFormatPr baseColWidth="8" defaultRowHeight="15" outlineLevelCol="0"/>
  <cols>
    <col width="2" customWidth="1" min="1" max="1"/>
    <col width="52" customWidth="1" min="2" max="2"/>
    <col width="22" customWidth="1" min="3" max="3"/>
    <col width="22" customWidth="1" min="4" max="4"/>
    <col width="22" customWidth="1" min="5" max="5"/>
  </cols>
  <sheetData>
    <row r="1">
      <c r="B1" s="1" t="inlineStr">
        <is>
          <t>COMPARATIVA 3 ESCENARIOS — Edificio Alicante</t>
        </is>
      </c>
    </row>
    <row r="3">
      <c r="B3" s="5" t="inlineStr">
        <is>
          <t>Concepto</t>
        </is>
      </c>
      <c r="C3" s="19" t="inlineStr">
        <is>
          <t>Escenario A — Interior (Elche/Novelda/Alcoy/Villena)</t>
        </is>
      </c>
      <c r="D3" s="19" t="inlineStr">
        <is>
          <t>Escenario B — Zona intermedia</t>
        </is>
      </c>
      <c r="E3" s="19" t="inlineStr">
        <is>
          <t>Escenario C — Capital/Costa Alicante</t>
        </is>
      </c>
    </row>
    <row r="4">
      <c r="B4" s="4" t="inlineStr">
        <is>
          <t>Precio edificio (€)</t>
        </is>
      </c>
      <c r="C4" s="14" t="n">
        <v>200000</v>
      </c>
      <c r="D4" s="14" t="n">
        <v>275000</v>
      </c>
      <c r="E4" s="14" t="n">
        <v>350000</v>
      </c>
    </row>
    <row r="5">
      <c r="B5" t="inlineStr">
        <is>
          <t>ITP Comunidad Valenciana (%)</t>
        </is>
      </c>
      <c r="C5" s="16">
        <f>'1_Inputs'!$B$40</f>
        <v/>
      </c>
      <c r="D5" s="16">
        <f>'1_Inputs'!$B$40</f>
        <v/>
      </c>
      <c r="E5" s="16">
        <f>'1_Inputs'!$B$40</f>
        <v/>
      </c>
    </row>
    <row r="6">
      <c r="B6" t="inlineStr">
        <is>
          <t>ITP (€)</t>
        </is>
      </c>
      <c r="C6" s="7">
        <f>C4*C5</f>
        <v/>
      </c>
      <c r="D6" s="7">
        <f>D4*D5</f>
        <v/>
      </c>
      <c r="E6" s="7">
        <f>E4*E5</f>
        <v/>
      </c>
    </row>
    <row r="7">
      <c r="B7" t="inlineStr">
        <is>
          <t>Notaría+registro+gestoría (€)</t>
        </is>
      </c>
      <c r="C7" s="7">
        <f>'1_Inputs'!$B$41</f>
        <v/>
      </c>
      <c r="D7" s="7">
        <f>'1_Inputs'!$B$41</f>
        <v/>
      </c>
      <c r="E7" s="7">
        <f>'1_Inputs'!$B$41</f>
        <v/>
      </c>
    </row>
    <row r="8">
      <c r="B8" s="4" t="inlineStr">
        <is>
          <t>TOTAL GASTOS DE COMPRA (€)</t>
        </is>
      </c>
      <c r="C8" s="7">
        <f>C6+C7</f>
        <v/>
      </c>
      <c r="D8" s="7">
        <f>D6+D7</f>
        <v/>
      </c>
      <c r="E8" s="7">
        <f>E6+E7</f>
        <v/>
      </c>
    </row>
    <row r="9">
      <c r="B9" t="inlineStr">
        <is>
          <t>Descuento tasación edificio vacío (%)</t>
        </is>
      </c>
      <c r="C9" s="16">
        <f>'1_Inputs'!$B$36</f>
        <v/>
      </c>
      <c r="D9" s="16">
        <f>'1_Inputs'!$B$36</f>
        <v/>
      </c>
      <c r="E9" s="16">
        <f>'1_Inputs'!$B$36</f>
        <v/>
      </c>
    </row>
    <row r="10">
      <c r="B10" t="inlineStr">
        <is>
          <t>Tasación edificio vacío (€)</t>
        </is>
      </c>
      <c r="C10" s="7">
        <f>C4*(1-C9)</f>
        <v/>
      </c>
      <c r="D10" s="7">
        <f>D4*(1-D9)</f>
        <v/>
      </c>
      <c r="E10" s="7">
        <f>E4*(1-E9)</f>
        <v/>
      </c>
    </row>
    <row r="11">
      <c r="B11" t="inlineStr">
        <is>
          <t>LTV máximo (%)</t>
        </is>
      </c>
      <c r="C11" s="16">
        <f>'1_Inputs'!$B$37</f>
        <v/>
      </c>
      <c r="D11" s="16">
        <f>'1_Inputs'!$B$37</f>
        <v/>
      </c>
      <c r="E11" s="16">
        <f>'1_Inputs'!$B$37</f>
        <v/>
      </c>
    </row>
    <row r="12">
      <c r="B12" s="4" t="inlineStr">
        <is>
          <t>HIPOTECA MÁXIMA OBTENIBLE (€)</t>
        </is>
      </c>
      <c r="C12" s="7">
        <f>C10*C11</f>
        <v/>
      </c>
      <c r="D12" s="7">
        <f>D10*D11</f>
        <v/>
      </c>
      <c r="E12" s="7">
        <f>E10*E11</f>
        <v/>
      </c>
    </row>
    <row r="13">
      <c r="B13" s="4" t="inlineStr">
        <is>
          <t>FONDOS PROPIOS COMPRA (€)</t>
        </is>
      </c>
      <c r="C13" s="14">
        <f>C4+C8-C12</f>
        <v/>
      </c>
      <c r="D13" s="14">
        <f>D4+D8-D12</f>
        <v/>
      </c>
      <c r="E13" s="14">
        <f>E4+E8-E12</f>
        <v/>
      </c>
    </row>
    <row r="14">
      <c r="B14" t="inlineStr">
        <is>
          <t>Tipo interés hipoteca edificio (%)</t>
        </is>
      </c>
      <c r="C14" s="16">
        <f>'1_Inputs'!$B$38</f>
        <v/>
      </c>
      <c r="D14" s="16">
        <f>'1_Inputs'!$B$38</f>
        <v/>
      </c>
      <c r="E14" s="16">
        <f>'1_Inputs'!$B$38</f>
        <v/>
      </c>
    </row>
    <row r="15">
      <c r="B15" t="inlineStr">
        <is>
          <t>Plazo hipoteca edificio (años)</t>
        </is>
      </c>
      <c r="C15">
        <f>'1_Inputs'!$B$39</f>
        <v/>
      </c>
      <c r="D15">
        <f>'1_Inputs'!$B$39</f>
        <v/>
      </c>
      <c r="E15">
        <f>'1_Inputs'!$B$39</f>
        <v/>
      </c>
    </row>
    <row r="16">
      <c r="B16" s="4" t="inlineStr">
        <is>
          <t>CUOTA MENSUAL HIPOTECA EDIFICIO (€)</t>
        </is>
      </c>
      <c r="C16" s="7">
        <f>PMT(C14/12,C15*12,-C12)</f>
        <v/>
      </c>
      <c r="D16" s="7">
        <f>PMT(D14/12,D15*12,-D12)</f>
        <v/>
      </c>
      <c r="E16" s="7">
        <f>PMT(E14/12,E15*12,-E12)</f>
        <v/>
      </c>
    </row>
    <row r="17">
      <c r="B17" t="inlineStr">
        <is>
          <t>Cuota nueva San Antonio (€)</t>
        </is>
      </c>
      <c r="C17" s="7">
        <f>'2_Rehipoteca'!$B$16</f>
        <v/>
      </c>
      <c r="D17" s="7">
        <f>'2_Rehipoteca'!$B$16</f>
        <v/>
      </c>
      <c r="E17" s="7">
        <f>'2_Rehipoteca'!$B$16</f>
        <v/>
      </c>
    </row>
    <row r="18">
      <c r="B18" s="4" t="inlineStr">
        <is>
          <t>CUOTA TOTAL MENSUAL COMBINADA (€)</t>
        </is>
      </c>
      <c r="C18" s="7">
        <f>C16+C17</f>
        <v/>
      </c>
      <c r="D18" s="7">
        <f>D16+D17</f>
        <v/>
      </c>
      <c r="E18" s="7">
        <f>E16+E17</f>
        <v/>
      </c>
    </row>
    <row r="19">
      <c r="B19" t="inlineStr">
        <is>
          <t>Techo endeudamiento (€/mes)</t>
        </is>
      </c>
      <c r="C19" s="7">
        <f>'3_CapacidadDeuda'!$B$5</f>
        <v/>
      </c>
      <c r="D19" s="7">
        <f>'3_CapacidadDeuda'!$B$5</f>
        <v/>
      </c>
      <c r="E19" s="7">
        <f>'3_CapacidadDeuda'!$B$5</f>
        <v/>
      </c>
    </row>
    <row r="20">
      <c r="B20" t="inlineStr">
        <is>
          <t>Margen (€/mes)</t>
        </is>
      </c>
      <c r="C20" s="7">
        <f>C19-C18</f>
        <v/>
      </c>
      <c r="D20" s="7">
        <f>D19-D18</f>
        <v/>
      </c>
      <c r="E20" s="7">
        <f>E19-E18</f>
        <v/>
      </c>
    </row>
    <row r="21">
      <c r="B21" s="4" t="inlineStr">
        <is>
          <t>¿FINANCIABLE SOLO CON NÓMINAS?</t>
        </is>
      </c>
      <c r="C21">
        <f>IF(C18&lt;=C19,"SÍ","NO — faltan "&amp;TEXT(C18-C19,"#,##0")&amp;"€/mes")</f>
        <v/>
      </c>
      <c r="D21">
        <f>IF(D18&lt;=D19,"SÍ","NO — faltan "&amp;TEXT(D18-D19,"#,##0")&amp;"€/mes")</f>
        <v/>
      </c>
      <c r="E21">
        <f>IF(E18&lt;=E19,"SÍ","NO — faltan "&amp;TEXT(E18-E19,"#,##0")&amp;"€/mes")</f>
        <v/>
      </c>
    </row>
    <row r="23">
      <c r="B23" s="20" t="inlineStr">
        <is>
          <t>REFORMA</t>
        </is>
      </c>
    </row>
    <row r="24">
      <c r="B24" t="inlineStr">
        <is>
          <t>Nº unidades</t>
        </is>
      </c>
      <c r="C24">
        <f>'1_Inputs'!$B$52</f>
        <v/>
      </c>
      <c r="D24">
        <f>'1_Inputs'!$B$52</f>
        <v/>
      </c>
      <c r="E24">
        <f>'1_Inputs'!$B$52</f>
        <v/>
      </c>
    </row>
    <row r="25">
      <c r="B25" t="inlineStr">
        <is>
          <t>Superficie por unidad (m²)</t>
        </is>
      </c>
      <c r="C25">
        <f>'1_Inputs'!$B$51</f>
        <v/>
      </c>
      <c r="D25">
        <f>'1_Inputs'!$B$51</f>
        <v/>
      </c>
      <c r="E25">
        <f>'1_Inputs'!$B$51</f>
        <v/>
      </c>
    </row>
    <row r="26">
      <c r="B26" t="inlineStr">
        <is>
          <t>Coste materiales (€/m²)</t>
        </is>
      </c>
      <c r="C26" s="7">
        <f>'1_Inputs'!$B$48</f>
        <v/>
      </c>
      <c r="D26" s="7">
        <f>'1_Inputs'!$B$48</f>
        <v/>
      </c>
      <c r="E26" s="7">
        <f>'1_Inputs'!$B$48</f>
        <v/>
      </c>
    </row>
    <row r="27">
      <c r="B27" t="inlineStr">
        <is>
          <t>Coste mano de obra externa (€/m²)</t>
        </is>
      </c>
      <c r="C27" s="7">
        <f>'1_Inputs'!$B$49</f>
        <v/>
      </c>
      <c r="D27" s="7">
        <f>'1_Inputs'!$B$49</f>
        <v/>
      </c>
      <c r="E27" s="7">
        <f>'1_Inputs'!$B$49</f>
        <v/>
      </c>
    </row>
    <row r="28">
      <c r="B28" t="inlineStr">
        <is>
          <t>Reforma por unidad (€)</t>
        </is>
      </c>
      <c r="C28" s="7">
        <f>(C26+C27)*C25</f>
        <v/>
      </c>
      <c r="D28" s="7">
        <f>(D26+D27)*D25</f>
        <v/>
      </c>
      <c r="E28" s="7">
        <f>(E26+E27)*E25</f>
        <v/>
      </c>
    </row>
    <row r="29">
      <c r="B29" t="inlineStr">
        <is>
          <t>Proyecto+licencias edificio (€)</t>
        </is>
      </c>
      <c r="C29" s="7">
        <f>'1_Inputs'!$B$50</f>
        <v/>
      </c>
      <c r="D29" s="7">
        <f>'1_Inputs'!$B$50</f>
        <v/>
      </c>
      <c r="E29" s="7">
        <f>'1_Inputs'!$B$50</f>
        <v/>
      </c>
    </row>
    <row r="30">
      <c r="B30" s="4" t="inlineStr">
        <is>
          <t>REFORMA TOTAL EDIFICIO (€)</t>
        </is>
      </c>
      <c r="C30" s="7">
        <f>C28*C24+C29</f>
        <v/>
      </c>
      <c r="D30" s="7">
        <f>D28*D24+D29</f>
        <v/>
      </c>
      <c r="E30" s="7">
        <f>E28*E24+E29</f>
        <v/>
      </c>
    </row>
    <row r="31">
      <c r="B31" t="inlineStr">
        <is>
          <t>Inversión total (precio+compra+reforma) (€)</t>
        </is>
      </c>
      <c r="C31" s="7">
        <f>C4+C8+C30</f>
        <v/>
      </c>
      <c r="D31" s="7">
        <f>D4+D8+D30</f>
        <v/>
      </c>
      <c r="E31" s="7">
        <f>E4+E8+E30</f>
        <v/>
      </c>
    </row>
    <row r="32">
      <c r="B32" s="4" t="inlineStr">
        <is>
          <t>FONDOS PROPIOS TOTALES NECESARIOS (compra+reforma) (€)</t>
        </is>
      </c>
      <c r="C32" s="14">
        <f>C13+C30</f>
        <v/>
      </c>
      <c r="D32" s="14">
        <f>D13+D30</f>
        <v/>
      </c>
      <c r="E32" s="14">
        <f>E13+E30</f>
        <v/>
      </c>
    </row>
    <row r="34">
      <c r="B34" s="20" t="inlineStr">
        <is>
          <t>RENTABILIDAD</t>
        </is>
      </c>
    </row>
    <row r="35">
      <c r="B35" t="inlineStr">
        <is>
          <t>Renta mensual estimada por unidad (€) — editable por zona</t>
        </is>
      </c>
      <c r="C35" s="14" t="n">
        <v>350</v>
      </c>
      <c r="D35" s="14" t="n">
        <v>450</v>
      </c>
      <c r="E35" s="14" t="n">
        <v>600</v>
      </c>
    </row>
    <row r="36">
      <c r="B36" t="inlineStr">
        <is>
          <t>Renta mensual total edificio (€)</t>
        </is>
      </c>
      <c r="C36" s="7">
        <f>C35*C24</f>
        <v/>
      </c>
      <c r="D36" s="7">
        <f>D35*D24</f>
        <v/>
      </c>
      <c r="E36" s="7">
        <f>E35*E24</f>
        <v/>
      </c>
    </row>
    <row r="37">
      <c r="B37" t="inlineStr">
        <is>
          <t>Renta anual bruta (€)</t>
        </is>
      </c>
      <c r="C37" s="7">
        <f>C36*12</f>
        <v/>
      </c>
      <c r="D37" s="7">
        <f>D36*12</f>
        <v/>
      </c>
      <c r="E37" s="7">
        <f>E36*12</f>
        <v/>
      </c>
    </row>
    <row r="38">
      <c r="B38" t="inlineStr">
        <is>
          <t>Vacancia anual (%)</t>
        </is>
      </c>
      <c r="C38" s="16">
        <f>'1_Inputs'!$B$42</f>
        <v/>
      </c>
      <c r="D38" s="16">
        <f>'1_Inputs'!$B$42</f>
        <v/>
      </c>
      <c r="E38" s="16">
        <f>'1_Inputs'!$B$42</f>
        <v/>
      </c>
    </row>
    <row r="39">
      <c r="B39" t="inlineStr">
        <is>
          <t>Pérdida por vacancia (€)</t>
        </is>
      </c>
      <c r="C39" s="7">
        <f>C37*C38</f>
        <v/>
      </c>
      <c r="D39" s="7">
        <f>D37*D38</f>
        <v/>
      </c>
      <c r="E39" s="7">
        <f>E37*E38</f>
        <v/>
      </c>
    </row>
    <row r="40">
      <c r="B40" t="inlineStr">
        <is>
          <t>IBI anual total (€)</t>
        </is>
      </c>
      <c r="C40" s="7">
        <f>'1_Inputs'!$B$43*C24</f>
        <v/>
      </c>
      <c r="D40" s="7">
        <f>'1_Inputs'!$B$43*D24</f>
        <v/>
      </c>
      <c r="E40" s="7">
        <f>'1_Inputs'!$B$43*E24</f>
        <v/>
      </c>
    </row>
    <row r="41">
      <c r="B41" t="inlineStr">
        <is>
          <t>Comunidad anual total (€)</t>
        </is>
      </c>
      <c r="C41" s="7">
        <f>'1_Inputs'!$B$44*C24</f>
        <v/>
      </c>
      <c r="D41" s="7">
        <f>'1_Inputs'!$B$44*D24</f>
        <v/>
      </c>
      <c r="E41" s="7">
        <f>'1_Inputs'!$B$44*E24</f>
        <v/>
      </c>
    </row>
    <row r="42">
      <c r="B42" t="inlineStr">
        <is>
          <t>Seguros anual total (€)</t>
        </is>
      </c>
      <c r="C42" s="7">
        <f>'1_Inputs'!$B$45*C24</f>
        <v/>
      </c>
      <c r="D42" s="7">
        <f>'1_Inputs'!$B$45*D24</f>
        <v/>
      </c>
      <c r="E42" s="7">
        <f>'1_Inputs'!$B$45*E24</f>
        <v/>
      </c>
    </row>
    <row r="43">
      <c r="B43" t="inlineStr">
        <is>
          <t>Mantenimiento anual (€)</t>
        </is>
      </c>
      <c r="C43" s="7">
        <f>C37*'1_Inputs'!$B$46</f>
        <v/>
      </c>
      <c r="D43" s="7">
        <f>D37*'1_Inputs'!$B$46</f>
        <v/>
      </c>
      <c r="E43" s="7">
        <f>E37*'1_Inputs'!$B$46</f>
        <v/>
      </c>
    </row>
    <row r="44">
      <c r="B44" s="4" t="inlineStr">
        <is>
          <t>Gastos anuales totales (€)</t>
        </is>
      </c>
      <c r="C44" s="7">
        <f>SUM(C39:C43)</f>
        <v/>
      </c>
      <c r="D44" s="7">
        <f>SUM(D39:D43)</f>
        <v/>
      </c>
      <c r="E44" s="7">
        <f>SUM(E39:E43)</f>
        <v/>
      </c>
    </row>
    <row r="45">
      <c r="B45" s="4" t="inlineStr">
        <is>
          <t>Renta neta anual antes IRPF (€)</t>
        </is>
      </c>
      <c r="C45" s="7">
        <f>C37-C44</f>
        <v/>
      </c>
      <c r="D45" s="7">
        <f>D37-D44</f>
        <v/>
      </c>
      <c r="E45" s="7">
        <f>E37-E44</f>
        <v/>
      </c>
    </row>
    <row r="46">
      <c r="B46" t="inlineStr">
        <is>
          <t>IRPF (%)</t>
        </is>
      </c>
      <c r="C46" s="16">
        <f>'1_Inputs'!$B$47</f>
        <v/>
      </c>
      <c r="D46" s="16">
        <f>'1_Inputs'!$B$47</f>
        <v/>
      </c>
      <c r="E46" s="16">
        <f>'1_Inputs'!$B$47</f>
        <v/>
      </c>
    </row>
    <row r="47">
      <c r="B47" t="inlineStr">
        <is>
          <t>IRPF anual (€)</t>
        </is>
      </c>
      <c r="C47" s="7">
        <f>IF(C45&gt;0,C45*C46,0)</f>
        <v/>
      </c>
      <c r="D47" s="7">
        <f>IF(D45&gt;0,D45*D46,0)</f>
        <v/>
      </c>
      <c r="E47" s="7">
        <f>IF(E45&gt;0,E45*E46,0)</f>
        <v/>
      </c>
    </row>
    <row r="48">
      <c r="B48" t="inlineStr">
        <is>
          <t>Cuota hipoteca edificio anual (€)</t>
        </is>
      </c>
      <c r="C48" s="7">
        <f>C16*12</f>
        <v/>
      </c>
      <c r="D48" s="7">
        <f>D16*12</f>
        <v/>
      </c>
      <c r="E48" s="7">
        <f>E16*12</f>
        <v/>
      </c>
    </row>
    <row r="49">
      <c r="B49" s="4" t="inlineStr">
        <is>
          <t>CASH FLOW ANUAL NETO (€)</t>
        </is>
      </c>
      <c r="C49" s="21">
        <f>C45-C47-C48</f>
        <v/>
      </c>
      <c r="D49" s="21">
        <f>D45-D47-D48</f>
        <v/>
      </c>
      <c r="E49" s="21">
        <f>E45-E47-E48</f>
        <v/>
      </c>
    </row>
    <row r="50">
      <c r="B50" t="inlineStr">
        <is>
          <t>Cash flow mensual (€)</t>
        </is>
      </c>
      <c r="C50" s="7">
        <f>C49/12</f>
        <v/>
      </c>
      <c r="D50" s="7">
        <f>D49/12</f>
        <v/>
      </c>
      <c r="E50" s="7">
        <f>E49/12</f>
        <v/>
      </c>
    </row>
    <row r="51">
      <c r="B51" t="inlineStr">
        <is>
          <t>Rentabilidad bruta (%)</t>
        </is>
      </c>
      <c r="C51" s="16">
        <f>C37/C31</f>
        <v/>
      </c>
      <c r="D51" s="16">
        <f>D37/D31</f>
        <v/>
      </c>
      <c r="E51" s="16">
        <f>E37/E31</f>
        <v/>
      </c>
    </row>
    <row r="52">
      <c r="B52" t="inlineStr">
        <is>
          <t>Rentabilidad neta (%)</t>
        </is>
      </c>
      <c r="C52" s="16">
        <f>(C45-C47)/C31</f>
        <v/>
      </c>
      <c r="D52" s="16">
        <f>(D45-D47)/D31</f>
        <v/>
      </c>
      <c r="E52" s="16">
        <f>(E45-E47)/E31</f>
        <v/>
      </c>
    </row>
    <row r="53">
      <c r="B53" t="inlineStr">
        <is>
          <t>Payback fondos propios (años)</t>
        </is>
      </c>
      <c r="C53">
        <f>IF(C49&gt;0,C32/C49,"N/A — cash flow negativo")</f>
        <v/>
      </c>
      <c r="D53">
        <f>IF(D49&gt;0,D32/D49,"N/A — cash flow negativo")</f>
        <v/>
      </c>
      <c r="E53">
        <f>IF(E49&gt;0,E32/E49,"N/A — cash flow negativo")</f>
        <v/>
      </c>
    </row>
    <row r="55">
      <c r="B55" s="20" t="inlineStr">
        <is>
          <t>LIQUIDEZ / FINANCIACIÓN</t>
        </is>
      </c>
    </row>
    <row r="56">
      <c r="B56" t="inlineStr">
        <is>
          <t>Liquidez neta disponible de la rehipoteca (€)</t>
        </is>
      </c>
      <c r="C56" s="7">
        <f>'2_Rehipoteca'!$B$12</f>
        <v/>
      </c>
      <c r="D56" s="7">
        <f>'2_Rehipoteca'!$B$12</f>
        <v/>
      </c>
      <c r="E56" s="7">
        <f>'2_Rehipoteca'!$B$12</f>
        <v/>
      </c>
    </row>
    <row r="57">
      <c r="B57" s="4" t="inlineStr">
        <is>
          <t>¿LIQUIDEZ CUBRE FONDOS PROPIOS NECESARIOS?</t>
        </is>
      </c>
      <c r="C57">
        <f>IF(C56&gt;=C32,"SÍ","NO — faltan "&amp;TEXT(C32-C56,"#,##0")&amp;"€")</f>
        <v/>
      </c>
      <c r="D57">
        <f>IF(D56&gt;=D32,"SÍ","NO — faltan "&amp;TEXT(D32-D56,"#,##0")&amp;"€")</f>
        <v/>
      </c>
      <c r="E57">
        <f>IF(E56&gt;=E32,"SÍ","NO — faltan "&amp;TEXT(E32-E56,"#,##0")&amp;"€")</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I129"/>
  <sheetViews>
    <sheetView showGridLines="0" workbookViewId="0">
      <selection activeCell="A1" sqref="A1"/>
    </sheetView>
  </sheetViews>
  <sheetFormatPr baseColWidth="8" defaultRowHeight="15" outlineLevelCol="0"/>
  <cols>
    <col width="2" customWidth="1" min="1" max="1"/>
    <col width="8" customWidth="1" min="2" max="2"/>
    <col width="30" customWidth="1" min="3" max="3"/>
    <col width="20" customWidth="1" min="4" max="4"/>
    <col width="20" customWidth="1" min="5" max="5"/>
    <col width="20" customWidth="1" min="6" max="6"/>
    <col width="20" customWidth="1" min="7" max="7"/>
    <col width="20" customWidth="1" min="8" max="8"/>
    <col width="20" customWidth="1" min="9" max="9"/>
  </cols>
  <sheetData>
    <row r="1">
      <c r="B1" s="1" t="inlineStr">
        <is>
          <t>CRONOGRAMA DE CAJA — 36 meses, por escenario</t>
        </is>
      </c>
    </row>
    <row r="2">
      <c r="B2" s="2" t="inlineStr">
        <is>
          <t>Modelo: reforma planta a planta (3 plantas x 2 unidades), secuencial. Caja inicial = fondos propios totales necesarios (compra+reforma) del escenario.</t>
        </is>
      </c>
    </row>
    <row r="4">
      <c r="B4" s="5" t="inlineStr">
        <is>
          <t>ESCENARIO A — Interior (200.000€)</t>
        </is>
      </c>
      <c r="C4" s="6" t="n"/>
      <c r="D4" s="6" t="n"/>
      <c r="E4" s="6" t="n"/>
      <c r="F4" s="6" t="n"/>
      <c r="G4" s="6" t="n"/>
      <c r="H4" s="6" t="n"/>
      <c r="I4" s="6" t="n"/>
    </row>
    <row r="5">
      <c r="B5" s="22" t="inlineStr">
        <is>
          <t>Mes</t>
        </is>
      </c>
      <c r="C5" s="22" t="inlineStr">
        <is>
          <t>Planta activa</t>
        </is>
      </c>
      <c r="D5" s="22" t="inlineStr">
        <is>
          <t>Coste reforma mes (€)</t>
        </is>
      </c>
      <c r="E5" s="22" t="inlineStr">
        <is>
          <t>Cuota edificio (€)</t>
        </is>
      </c>
      <c r="F5" s="22" t="inlineStr">
        <is>
          <t>Cuota San Antonio (€)</t>
        </is>
      </c>
      <c r="G5" s="22" t="inlineStr">
        <is>
          <t>Alquiler cobrado (€)</t>
        </is>
      </c>
      <c r="H5" s="22" t="inlineStr">
        <is>
          <t>Flujo neto mes (€)</t>
        </is>
      </c>
      <c r="I5" s="22" t="inlineStr">
        <is>
          <t>Caja acumulada (€)</t>
        </is>
      </c>
    </row>
    <row r="6">
      <c r="B6" t="n">
        <v>1</v>
      </c>
      <c r="C6">
        <f>IF(B6&lt;='1_Inputs'!$B$53,"Planta 1 (obra)",IF(B6&lt;=2*'1_Inputs'!$B$53,"Planta 2 (obra)",IF(B6&lt;=3*'1_Inputs'!$B$53,"Planta 3 (obra)","Completo (alquilado)")))</f>
        <v/>
      </c>
      <c r="D6" s="7">
        <f>IF(B6&lt;=3*'1_Inputs'!$B$53,(('4_Comparativa'!$C$30-'4_Comparativa'!$C$29)/3)/'1_Inputs'!$B$53,0)+IF(B6=1,'4_Comparativa'!$C$29,0)</f>
        <v/>
      </c>
      <c r="E6" s="7">
        <f>'4_Comparativa'!$C$16</f>
        <v/>
      </c>
      <c r="F6" s="7">
        <f>'2_Rehipoteca'!$B$16</f>
        <v/>
      </c>
      <c r="G6" s="7">
        <f>('4_Comparativa'!$C$35*2)*(IF(B6&gt;'1_Inputs'!$B$53,1,0)+IF(B6&gt;2*'1_Inputs'!$B$53,1,0)+IF(B6&gt;3*'1_Inputs'!$B$53,1,0))</f>
        <v/>
      </c>
      <c r="H6" s="7">
        <f>G6-D6-E6-F6</f>
        <v/>
      </c>
      <c r="I6" s="7">
        <f>'4_Comparativa'!$C$32+H6</f>
        <v/>
      </c>
    </row>
    <row r="7">
      <c r="B7" t="n">
        <v>2</v>
      </c>
      <c r="C7">
        <f>IF(B7&lt;='1_Inputs'!$B$53,"Planta 1 (obra)",IF(B7&lt;=2*'1_Inputs'!$B$53,"Planta 2 (obra)",IF(B7&lt;=3*'1_Inputs'!$B$53,"Planta 3 (obra)","Completo (alquilado)")))</f>
        <v/>
      </c>
      <c r="D7" s="7">
        <f>IF(B7&lt;=3*'1_Inputs'!$B$53,(('4_Comparativa'!$C$30-'4_Comparativa'!$C$29)/3)/'1_Inputs'!$B$53,0)+IF(B7=1,'4_Comparativa'!$C$29,0)</f>
        <v/>
      </c>
      <c r="E7" s="7">
        <f>'4_Comparativa'!$C$16</f>
        <v/>
      </c>
      <c r="F7" s="7">
        <f>'2_Rehipoteca'!$B$16</f>
        <v/>
      </c>
      <c r="G7" s="7">
        <f>('4_Comparativa'!$C$35*2)*(IF(B7&gt;'1_Inputs'!$B$53,1,0)+IF(B7&gt;2*'1_Inputs'!$B$53,1,0)+IF(B7&gt;3*'1_Inputs'!$B$53,1,0))</f>
        <v/>
      </c>
      <c r="H7" s="7">
        <f>G7-D7-E7-F7</f>
        <v/>
      </c>
      <c r="I7" s="7">
        <f>I6+H7</f>
        <v/>
      </c>
    </row>
    <row r="8">
      <c r="B8" t="n">
        <v>3</v>
      </c>
      <c r="C8">
        <f>IF(B8&lt;='1_Inputs'!$B$53,"Planta 1 (obra)",IF(B8&lt;=2*'1_Inputs'!$B$53,"Planta 2 (obra)",IF(B8&lt;=3*'1_Inputs'!$B$53,"Planta 3 (obra)","Completo (alquilado)")))</f>
        <v/>
      </c>
      <c r="D8" s="7">
        <f>IF(B8&lt;=3*'1_Inputs'!$B$53,(('4_Comparativa'!$C$30-'4_Comparativa'!$C$29)/3)/'1_Inputs'!$B$53,0)+IF(B8=1,'4_Comparativa'!$C$29,0)</f>
        <v/>
      </c>
      <c r="E8" s="7">
        <f>'4_Comparativa'!$C$16</f>
        <v/>
      </c>
      <c r="F8" s="7">
        <f>'2_Rehipoteca'!$B$16</f>
        <v/>
      </c>
      <c r="G8" s="7">
        <f>('4_Comparativa'!$C$35*2)*(IF(B8&gt;'1_Inputs'!$B$53,1,0)+IF(B8&gt;2*'1_Inputs'!$B$53,1,0)+IF(B8&gt;3*'1_Inputs'!$B$53,1,0))</f>
        <v/>
      </c>
      <c r="H8" s="7">
        <f>G8-D8-E8-F8</f>
        <v/>
      </c>
      <c r="I8" s="7">
        <f>I7+H8</f>
        <v/>
      </c>
    </row>
    <row r="9">
      <c r="B9" t="n">
        <v>4</v>
      </c>
      <c r="C9">
        <f>IF(B9&lt;='1_Inputs'!$B$53,"Planta 1 (obra)",IF(B9&lt;=2*'1_Inputs'!$B$53,"Planta 2 (obra)",IF(B9&lt;=3*'1_Inputs'!$B$53,"Planta 3 (obra)","Completo (alquilado)")))</f>
        <v/>
      </c>
      <c r="D9" s="7">
        <f>IF(B9&lt;=3*'1_Inputs'!$B$53,(('4_Comparativa'!$C$30-'4_Comparativa'!$C$29)/3)/'1_Inputs'!$B$53,0)+IF(B9=1,'4_Comparativa'!$C$29,0)</f>
        <v/>
      </c>
      <c r="E9" s="7">
        <f>'4_Comparativa'!$C$16</f>
        <v/>
      </c>
      <c r="F9" s="7">
        <f>'2_Rehipoteca'!$B$16</f>
        <v/>
      </c>
      <c r="G9" s="7">
        <f>('4_Comparativa'!$C$35*2)*(IF(B9&gt;'1_Inputs'!$B$53,1,0)+IF(B9&gt;2*'1_Inputs'!$B$53,1,0)+IF(B9&gt;3*'1_Inputs'!$B$53,1,0))</f>
        <v/>
      </c>
      <c r="H9" s="7">
        <f>G9-D9-E9-F9</f>
        <v/>
      </c>
      <c r="I9" s="7">
        <f>I8+H9</f>
        <v/>
      </c>
    </row>
    <row r="10">
      <c r="B10" t="n">
        <v>5</v>
      </c>
      <c r="C10">
        <f>IF(B10&lt;='1_Inputs'!$B$53,"Planta 1 (obra)",IF(B10&lt;=2*'1_Inputs'!$B$53,"Planta 2 (obra)",IF(B10&lt;=3*'1_Inputs'!$B$53,"Planta 3 (obra)","Completo (alquilado)")))</f>
        <v/>
      </c>
      <c r="D10" s="7">
        <f>IF(B10&lt;=3*'1_Inputs'!$B$53,(('4_Comparativa'!$C$30-'4_Comparativa'!$C$29)/3)/'1_Inputs'!$B$53,0)+IF(B10=1,'4_Comparativa'!$C$29,0)</f>
        <v/>
      </c>
      <c r="E10" s="7">
        <f>'4_Comparativa'!$C$16</f>
        <v/>
      </c>
      <c r="F10" s="7">
        <f>'2_Rehipoteca'!$B$16</f>
        <v/>
      </c>
      <c r="G10" s="7">
        <f>('4_Comparativa'!$C$35*2)*(IF(B10&gt;'1_Inputs'!$B$53,1,0)+IF(B10&gt;2*'1_Inputs'!$B$53,1,0)+IF(B10&gt;3*'1_Inputs'!$B$53,1,0))</f>
        <v/>
      </c>
      <c r="H10" s="7">
        <f>G10-D10-E10-F10</f>
        <v/>
      </c>
      <c r="I10" s="7">
        <f>I9+H10</f>
        <v/>
      </c>
    </row>
    <row r="11">
      <c r="B11" t="n">
        <v>6</v>
      </c>
      <c r="C11">
        <f>IF(B11&lt;='1_Inputs'!$B$53,"Planta 1 (obra)",IF(B11&lt;=2*'1_Inputs'!$B$53,"Planta 2 (obra)",IF(B11&lt;=3*'1_Inputs'!$B$53,"Planta 3 (obra)","Completo (alquilado)")))</f>
        <v/>
      </c>
      <c r="D11" s="7">
        <f>IF(B11&lt;=3*'1_Inputs'!$B$53,(('4_Comparativa'!$C$30-'4_Comparativa'!$C$29)/3)/'1_Inputs'!$B$53,0)+IF(B11=1,'4_Comparativa'!$C$29,0)</f>
        <v/>
      </c>
      <c r="E11" s="7">
        <f>'4_Comparativa'!$C$16</f>
        <v/>
      </c>
      <c r="F11" s="7">
        <f>'2_Rehipoteca'!$B$16</f>
        <v/>
      </c>
      <c r="G11" s="7">
        <f>('4_Comparativa'!$C$35*2)*(IF(B11&gt;'1_Inputs'!$B$53,1,0)+IF(B11&gt;2*'1_Inputs'!$B$53,1,0)+IF(B11&gt;3*'1_Inputs'!$B$53,1,0))</f>
        <v/>
      </c>
      <c r="H11" s="7">
        <f>G11-D11-E11-F11</f>
        <v/>
      </c>
      <c r="I11" s="7">
        <f>I10+H11</f>
        <v/>
      </c>
    </row>
    <row r="12">
      <c r="B12" t="n">
        <v>7</v>
      </c>
      <c r="C12">
        <f>IF(B12&lt;='1_Inputs'!$B$53,"Planta 1 (obra)",IF(B12&lt;=2*'1_Inputs'!$B$53,"Planta 2 (obra)",IF(B12&lt;=3*'1_Inputs'!$B$53,"Planta 3 (obra)","Completo (alquilado)")))</f>
        <v/>
      </c>
      <c r="D12" s="7">
        <f>IF(B12&lt;=3*'1_Inputs'!$B$53,(('4_Comparativa'!$C$30-'4_Comparativa'!$C$29)/3)/'1_Inputs'!$B$53,0)+IF(B12=1,'4_Comparativa'!$C$29,0)</f>
        <v/>
      </c>
      <c r="E12" s="7">
        <f>'4_Comparativa'!$C$16</f>
        <v/>
      </c>
      <c r="F12" s="7">
        <f>'2_Rehipoteca'!$B$16</f>
        <v/>
      </c>
      <c r="G12" s="7">
        <f>('4_Comparativa'!$C$35*2)*(IF(B12&gt;'1_Inputs'!$B$53,1,0)+IF(B12&gt;2*'1_Inputs'!$B$53,1,0)+IF(B12&gt;3*'1_Inputs'!$B$53,1,0))</f>
        <v/>
      </c>
      <c r="H12" s="7">
        <f>G12-D12-E12-F12</f>
        <v/>
      </c>
      <c r="I12" s="7">
        <f>I11+H12</f>
        <v/>
      </c>
    </row>
    <row r="13">
      <c r="B13" t="n">
        <v>8</v>
      </c>
      <c r="C13">
        <f>IF(B13&lt;='1_Inputs'!$B$53,"Planta 1 (obra)",IF(B13&lt;=2*'1_Inputs'!$B$53,"Planta 2 (obra)",IF(B13&lt;=3*'1_Inputs'!$B$53,"Planta 3 (obra)","Completo (alquilado)")))</f>
        <v/>
      </c>
      <c r="D13" s="7">
        <f>IF(B13&lt;=3*'1_Inputs'!$B$53,(('4_Comparativa'!$C$30-'4_Comparativa'!$C$29)/3)/'1_Inputs'!$B$53,0)+IF(B13=1,'4_Comparativa'!$C$29,0)</f>
        <v/>
      </c>
      <c r="E13" s="7">
        <f>'4_Comparativa'!$C$16</f>
        <v/>
      </c>
      <c r="F13" s="7">
        <f>'2_Rehipoteca'!$B$16</f>
        <v/>
      </c>
      <c r="G13" s="7">
        <f>('4_Comparativa'!$C$35*2)*(IF(B13&gt;'1_Inputs'!$B$53,1,0)+IF(B13&gt;2*'1_Inputs'!$B$53,1,0)+IF(B13&gt;3*'1_Inputs'!$B$53,1,0))</f>
        <v/>
      </c>
      <c r="H13" s="7">
        <f>G13-D13-E13-F13</f>
        <v/>
      </c>
      <c r="I13" s="7">
        <f>I12+H13</f>
        <v/>
      </c>
    </row>
    <row r="14">
      <c r="B14" t="n">
        <v>9</v>
      </c>
      <c r="C14">
        <f>IF(B14&lt;='1_Inputs'!$B$53,"Planta 1 (obra)",IF(B14&lt;=2*'1_Inputs'!$B$53,"Planta 2 (obra)",IF(B14&lt;=3*'1_Inputs'!$B$53,"Planta 3 (obra)","Completo (alquilado)")))</f>
        <v/>
      </c>
      <c r="D14" s="7">
        <f>IF(B14&lt;=3*'1_Inputs'!$B$53,(('4_Comparativa'!$C$30-'4_Comparativa'!$C$29)/3)/'1_Inputs'!$B$53,0)+IF(B14=1,'4_Comparativa'!$C$29,0)</f>
        <v/>
      </c>
      <c r="E14" s="7">
        <f>'4_Comparativa'!$C$16</f>
        <v/>
      </c>
      <c r="F14" s="7">
        <f>'2_Rehipoteca'!$B$16</f>
        <v/>
      </c>
      <c r="G14" s="7">
        <f>('4_Comparativa'!$C$35*2)*(IF(B14&gt;'1_Inputs'!$B$53,1,0)+IF(B14&gt;2*'1_Inputs'!$B$53,1,0)+IF(B14&gt;3*'1_Inputs'!$B$53,1,0))</f>
        <v/>
      </c>
      <c r="H14" s="7">
        <f>G14-D14-E14-F14</f>
        <v/>
      </c>
      <c r="I14" s="7">
        <f>I13+H14</f>
        <v/>
      </c>
    </row>
    <row r="15">
      <c r="B15" t="n">
        <v>10</v>
      </c>
      <c r="C15">
        <f>IF(B15&lt;='1_Inputs'!$B$53,"Planta 1 (obra)",IF(B15&lt;=2*'1_Inputs'!$B$53,"Planta 2 (obra)",IF(B15&lt;=3*'1_Inputs'!$B$53,"Planta 3 (obra)","Completo (alquilado)")))</f>
        <v/>
      </c>
      <c r="D15" s="7">
        <f>IF(B15&lt;=3*'1_Inputs'!$B$53,(('4_Comparativa'!$C$30-'4_Comparativa'!$C$29)/3)/'1_Inputs'!$B$53,0)+IF(B15=1,'4_Comparativa'!$C$29,0)</f>
        <v/>
      </c>
      <c r="E15" s="7">
        <f>'4_Comparativa'!$C$16</f>
        <v/>
      </c>
      <c r="F15" s="7">
        <f>'2_Rehipoteca'!$B$16</f>
        <v/>
      </c>
      <c r="G15" s="7">
        <f>('4_Comparativa'!$C$35*2)*(IF(B15&gt;'1_Inputs'!$B$53,1,0)+IF(B15&gt;2*'1_Inputs'!$B$53,1,0)+IF(B15&gt;3*'1_Inputs'!$B$53,1,0))</f>
        <v/>
      </c>
      <c r="H15" s="7">
        <f>G15-D15-E15-F15</f>
        <v/>
      </c>
      <c r="I15" s="7">
        <f>I14+H15</f>
        <v/>
      </c>
    </row>
    <row r="16">
      <c r="B16" t="n">
        <v>11</v>
      </c>
      <c r="C16">
        <f>IF(B16&lt;='1_Inputs'!$B$53,"Planta 1 (obra)",IF(B16&lt;=2*'1_Inputs'!$B$53,"Planta 2 (obra)",IF(B16&lt;=3*'1_Inputs'!$B$53,"Planta 3 (obra)","Completo (alquilado)")))</f>
        <v/>
      </c>
      <c r="D16" s="7">
        <f>IF(B16&lt;=3*'1_Inputs'!$B$53,(('4_Comparativa'!$C$30-'4_Comparativa'!$C$29)/3)/'1_Inputs'!$B$53,0)+IF(B16=1,'4_Comparativa'!$C$29,0)</f>
        <v/>
      </c>
      <c r="E16" s="7">
        <f>'4_Comparativa'!$C$16</f>
        <v/>
      </c>
      <c r="F16" s="7">
        <f>'2_Rehipoteca'!$B$16</f>
        <v/>
      </c>
      <c r="G16" s="7">
        <f>('4_Comparativa'!$C$35*2)*(IF(B16&gt;'1_Inputs'!$B$53,1,0)+IF(B16&gt;2*'1_Inputs'!$B$53,1,0)+IF(B16&gt;3*'1_Inputs'!$B$53,1,0))</f>
        <v/>
      </c>
      <c r="H16" s="7">
        <f>G16-D16-E16-F16</f>
        <v/>
      </c>
      <c r="I16" s="7">
        <f>I15+H16</f>
        <v/>
      </c>
    </row>
    <row r="17">
      <c r="B17" t="n">
        <v>12</v>
      </c>
      <c r="C17">
        <f>IF(B17&lt;='1_Inputs'!$B$53,"Planta 1 (obra)",IF(B17&lt;=2*'1_Inputs'!$B$53,"Planta 2 (obra)",IF(B17&lt;=3*'1_Inputs'!$B$53,"Planta 3 (obra)","Completo (alquilado)")))</f>
        <v/>
      </c>
      <c r="D17" s="7">
        <f>IF(B17&lt;=3*'1_Inputs'!$B$53,(('4_Comparativa'!$C$30-'4_Comparativa'!$C$29)/3)/'1_Inputs'!$B$53,0)+IF(B17=1,'4_Comparativa'!$C$29,0)</f>
        <v/>
      </c>
      <c r="E17" s="7">
        <f>'4_Comparativa'!$C$16</f>
        <v/>
      </c>
      <c r="F17" s="7">
        <f>'2_Rehipoteca'!$B$16</f>
        <v/>
      </c>
      <c r="G17" s="7">
        <f>('4_Comparativa'!$C$35*2)*(IF(B17&gt;'1_Inputs'!$B$53,1,0)+IF(B17&gt;2*'1_Inputs'!$B$53,1,0)+IF(B17&gt;3*'1_Inputs'!$B$53,1,0))</f>
        <v/>
      </c>
      <c r="H17" s="7">
        <f>G17-D17-E17-F17</f>
        <v/>
      </c>
      <c r="I17" s="7">
        <f>I16+H17</f>
        <v/>
      </c>
    </row>
    <row r="18">
      <c r="B18" t="n">
        <v>13</v>
      </c>
      <c r="C18">
        <f>IF(B18&lt;='1_Inputs'!$B$53,"Planta 1 (obra)",IF(B18&lt;=2*'1_Inputs'!$B$53,"Planta 2 (obra)",IF(B18&lt;=3*'1_Inputs'!$B$53,"Planta 3 (obra)","Completo (alquilado)")))</f>
        <v/>
      </c>
      <c r="D18" s="7">
        <f>IF(B18&lt;=3*'1_Inputs'!$B$53,(('4_Comparativa'!$C$30-'4_Comparativa'!$C$29)/3)/'1_Inputs'!$B$53,0)+IF(B18=1,'4_Comparativa'!$C$29,0)</f>
        <v/>
      </c>
      <c r="E18" s="7">
        <f>'4_Comparativa'!$C$16</f>
        <v/>
      </c>
      <c r="F18" s="7">
        <f>'2_Rehipoteca'!$B$16</f>
        <v/>
      </c>
      <c r="G18" s="7">
        <f>('4_Comparativa'!$C$35*2)*(IF(B18&gt;'1_Inputs'!$B$53,1,0)+IF(B18&gt;2*'1_Inputs'!$B$53,1,0)+IF(B18&gt;3*'1_Inputs'!$B$53,1,0))</f>
        <v/>
      </c>
      <c r="H18" s="7">
        <f>G18-D18-E18-F18</f>
        <v/>
      </c>
      <c r="I18" s="7">
        <f>I17+H18</f>
        <v/>
      </c>
    </row>
    <row r="19">
      <c r="B19" t="n">
        <v>14</v>
      </c>
      <c r="C19">
        <f>IF(B19&lt;='1_Inputs'!$B$53,"Planta 1 (obra)",IF(B19&lt;=2*'1_Inputs'!$B$53,"Planta 2 (obra)",IF(B19&lt;=3*'1_Inputs'!$B$53,"Planta 3 (obra)","Completo (alquilado)")))</f>
        <v/>
      </c>
      <c r="D19" s="7">
        <f>IF(B19&lt;=3*'1_Inputs'!$B$53,(('4_Comparativa'!$C$30-'4_Comparativa'!$C$29)/3)/'1_Inputs'!$B$53,0)+IF(B19=1,'4_Comparativa'!$C$29,0)</f>
        <v/>
      </c>
      <c r="E19" s="7">
        <f>'4_Comparativa'!$C$16</f>
        <v/>
      </c>
      <c r="F19" s="7">
        <f>'2_Rehipoteca'!$B$16</f>
        <v/>
      </c>
      <c r="G19" s="7">
        <f>('4_Comparativa'!$C$35*2)*(IF(B19&gt;'1_Inputs'!$B$53,1,0)+IF(B19&gt;2*'1_Inputs'!$B$53,1,0)+IF(B19&gt;3*'1_Inputs'!$B$53,1,0))</f>
        <v/>
      </c>
      <c r="H19" s="7">
        <f>G19-D19-E19-F19</f>
        <v/>
      </c>
      <c r="I19" s="7">
        <f>I18+H19</f>
        <v/>
      </c>
    </row>
    <row r="20">
      <c r="B20" t="n">
        <v>15</v>
      </c>
      <c r="C20">
        <f>IF(B20&lt;='1_Inputs'!$B$53,"Planta 1 (obra)",IF(B20&lt;=2*'1_Inputs'!$B$53,"Planta 2 (obra)",IF(B20&lt;=3*'1_Inputs'!$B$53,"Planta 3 (obra)","Completo (alquilado)")))</f>
        <v/>
      </c>
      <c r="D20" s="7">
        <f>IF(B20&lt;=3*'1_Inputs'!$B$53,(('4_Comparativa'!$C$30-'4_Comparativa'!$C$29)/3)/'1_Inputs'!$B$53,0)+IF(B20=1,'4_Comparativa'!$C$29,0)</f>
        <v/>
      </c>
      <c r="E20" s="7">
        <f>'4_Comparativa'!$C$16</f>
        <v/>
      </c>
      <c r="F20" s="7">
        <f>'2_Rehipoteca'!$B$16</f>
        <v/>
      </c>
      <c r="G20" s="7">
        <f>('4_Comparativa'!$C$35*2)*(IF(B20&gt;'1_Inputs'!$B$53,1,0)+IF(B20&gt;2*'1_Inputs'!$B$53,1,0)+IF(B20&gt;3*'1_Inputs'!$B$53,1,0))</f>
        <v/>
      </c>
      <c r="H20" s="7">
        <f>G20-D20-E20-F20</f>
        <v/>
      </c>
      <c r="I20" s="7">
        <f>I19+H20</f>
        <v/>
      </c>
    </row>
    <row r="21">
      <c r="B21" t="n">
        <v>16</v>
      </c>
      <c r="C21">
        <f>IF(B21&lt;='1_Inputs'!$B$53,"Planta 1 (obra)",IF(B21&lt;=2*'1_Inputs'!$B$53,"Planta 2 (obra)",IF(B21&lt;=3*'1_Inputs'!$B$53,"Planta 3 (obra)","Completo (alquilado)")))</f>
        <v/>
      </c>
      <c r="D21" s="7">
        <f>IF(B21&lt;=3*'1_Inputs'!$B$53,(('4_Comparativa'!$C$30-'4_Comparativa'!$C$29)/3)/'1_Inputs'!$B$53,0)+IF(B21=1,'4_Comparativa'!$C$29,0)</f>
        <v/>
      </c>
      <c r="E21" s="7">
        <f>'4_Comparativa'!$C$16</f>
        <v/>
      </c>
      <c r="F21" s="7">
        <f>'2_Rehipoteca'!$B$16</f>
        <v/>
      </c>
      <c r="G21" s="7">
        <f>('4_Comparativa'!$C$35*2)*(IF(B21&gt;'1_Inputs'!$B$53,1,0)+IF(B21&gt;2*'1_Inputs'!$B$53,1,0)+IF(B21&gt;3*'1_Inputs'!$B$53,1,0))</f>
        <v/>
      </c>
      <c r="H21" s="7">
        <f>G21-D21-E21-F21</f>
        <v/>
      </c>
      <c r="I21" s="7">
        <f>I20+H21</f>
        <v/>
      </c>
    </row>
    <row r="22">
      <c r="B22" t="n">
        <v>17</v>
      </c>
      <c r="C22">
        <f>IF(B22&lt;='1_Inputs'!$B$53,"Planta 1 (obra)",IF(B22&lt;=2*'1_Inputs'!$B$53,"Planta 2 (obra)",IF(B22&lt;=3*'1_Inputs'!$B$53,"Planta 3 (obra)","Completo (alquilado)")))</f>
        <v/>
      </c>
      <c r="D22" s="7">
        <f>IF(B22&lt;=3*'1_Inputs'!$B$53,(('4_Comparativa'!$C$30-'4_Comparativa'!$C$29)/3)/'1_Inputs'!$B$53,0)+IF(B22=1,'4_Comparativa'!$C$29,0)</f>
        <v/>
      </c>
      <c r="E22" s="7">
        <f>'4_Comparativa'!$C$16</f>
        <v/>
      </c>
      <c r="F22" s="7">
        <f>'2_Rehipoteca'!$B$16</f>
        <v/>
      </c>
      <c r="G22" s="7">
        <f>('4_Comparativa'!$C$35*2)*(IF(B22&gt;'1_Inputs'!$B$53,1,0)+IF(B22&gt;2*'1_Inputs'!$B$53,1,0)+IF(B22&gt;3*'1_Inputs'!$B$53,1,0))</f>
        <v/>
      </c>
      <c r="H22" s="7">
        <f>G22-D22-E22-F22</f>
        <v/>
      </c>
      <c r="I22" s="7">
        <f>I21+H22</f>
        <v/>
      </c>
    </row>
    <row r="23">
      <c r="B23" t="n">
        <v>18</v>
      </c>
      <c r="C23">
        <f>IF(B23&lt;='1_Inputs'!$B$53,"Planta 1 (obra)",IF(B23&lt;=2*'1_Inputs'!$B$53,"Planta 2 (obra)",IF(B23&lt;=3*'1_Inputs'!$B$53,"Planta 3 (obra)","Completo (alquilado)")))</f>
        <v/>
      </c>
      <c r="D23" s="7">
        <f>IF(B23&lt;=3*'1_Inputs'!$B$53,(('4_Comparativa'!$C$30-'4_Comparativa'!$C$29)/3)/'1_Inputs'!$B$53,0)+IF(B23=1,'4_Comparativa'!$C$29,0)</f>
        <v/>
      </c>
      <c r="E23" s="7">
        <f>'4_Comparativa'!$C$16</f>
        <v/>
      </c>
      <c r="F23" s="7">
        <f>'2_Rehipoteca'!$B$16</f>
        <v/>
      </c>
      <c r="G23" s="7">
        <f>('4_Comparativa'!$C$35*2)*(IF(B23&gt;'1_Inputs'!$B$53,1,0)+IF(B23&gt;2*'1_Inputs'!$B$53,1,0)+IF(B23&gt;3*'1_Inputs'!$B$53,1,0))</f>
        <v/>
      </c>
      <c r="H23" s="7">
        <f>G23-D23-E23-F23</f>
        <v/>
      </c>
      <c r="I23" s="7">
        <f>I22+H23</f>
        <v/>
      </c>
    </row>
    <row r="24">
      <c r="B24" t="n">
        <v>19</v>
      </c>
      <c r="C24">
        <f>IF(B24&lt;='1_Inputs'!$B$53,"Planta 1 (obra)",IF(B24&lt;=2*'1_Inputs'!$B$53,"Planta 2 (obra)",IF(B24&lt;=3*'1_Inputs'!$B$53,"Planta 3 (obra)","Completo (alquilado)")))</f>
        <v/>
      </c>
      <c r="D24" s="7">
        <f>IF(B24&lt;=3*'1_Inputs'!$B$53,(('4_Comparativa'!$C$30-'4_Comparativa'!$C$29)/3)/'1_Inputs'!$B$53,0)+IF(B24=1,'4_Comparativa'!$C$29,0)</f>
        <v/>
      </c>
      <c r="E24" s="7">
        <f>'4_Comparativa'!$C$16</f>
        <v/>
      </c>
      <c r="F24" s="7">
        <f>'2_Rehipoteca'!$B$16</f>
        <v/>
      </c>
      <c r="G24" s="7">
        <f>('4_Comparativa'!$C$35*2)*(IF(B24&gt;'1_Inputs'!$B$53,1,0)+IF(B24&gt;2*'1_Inputs'!$B$53,1,0)+IF(B24&gt;3*'1_Inputs'!$B$53,1,0))</f>
        <v/>
      </c>
      <c r="H24" s="7">
        <f>G24-D24-E24-F24</f>
        <v/>
      </c>
      <c r="I24" s="7">
        <f>I23+H24</f>
        <v/>
      </c>
    </row>
    <row r="25">
      <c r="B25" t="n">
        <v>20</v>
      </c>
      <c r="C25">
        <f>IF(B25&lt;='1_Inputs'!$B$53,"Planta 1 (obra)",IF(B25&lt;=2*'1_Inputs'!$B$53,"Planta 2 (obra)",IF(B25&lt;=3*'1_Inputs'!$B$53,"Planta 3 (obra)","Completo (alquilado)")))</f>
        <v/>
      </c>
      <c r="D25" s="7">
        <f>IF(B25&lt;=3*'1_Inputs'!$B$53,(('4_Comparativa'!$C$30-'4_Comparativa'!$C$29)/3)/'1_Inputs'!$B$53,0)+IF(B25=1,'4_Comparativa'!$C$29,0)</f>
        <v/>
      </c>
      <c r="E25" s="7">
        <f>'4_Comparativa'!$C$16</f>
        <v/>
      </c>
      <c r="F25" s="7">
        <f>'2_Rehipoteca'!$B$16</f>
        <v/>
      </c>
      <c r="G25" s="7">
        <f>('4_Comparativa'!$C$35*2)*(IF(B25&gt;'1_Inputs'!$B$53,1,0)+IF(B25&gt;2*'1_Inputs'!$B$53,1,0)+IF(B25&gt;3*'1_Inputs'!$B$53,1,0))</f>
        <v/>
      </c>
      <c r="H25" s="7">
        <f>G25-D25-E25-F25</f>
        <v/>
      </c>
      <c r="I25" s="7">
        <f>I24+H25</f>
        <v/>
      </c>
    </row>
    <row r="26">
      <c r="B26" t="n">
        <v>21</v>
      </c>
      <c r="C26">
        <f>IF(B26&lt;='1_Inputs'!$B$53,"Planta 1 (obra)",IF(B26&lt;=2*'1_Inputs'!$B$53,"Planta 2 (obra)",IF(B26&lt;=3*'1_Inputs'!$B$53,"Planta 3 (obra)","Completo (alquilado)")))</f>
        <v/>
      </c>
      <c r="D26" s="7">
        <f>IF(B26&lt;=3*'1_Inputs'!$B$53,(('4_Comparativa'!$C$30-'4_Comparativa'!$C$29)/3)/'1_Inputs'!$B$53,0)+IF(B26=1,'4_Comparativa'!$C$29,0)</f>
        <v/>
      </c>
      <c r="E26" s="7">
        <f>'4_Comparativa'!$C$16</f>
        <v/>
      </c>
      <c r="F26" s="7">
        <f>'2_Rehipoteca'!$B$16</f>
        <v/>
      </c>
      <c r="G26" s="7">
        <f>('4_Comparativa'!$C$35*2)*(IF(B26&gt;'1_Inputs'!$B$53,1,0)+IF(B26&gt;2*'1_Inputs'!$B$53,1,0)+IF(B26&gt;3*'1_Inputs'!$B$53,1,0))</f>
        <v/>
      </c>
      <c r="H26" s="7">
        <f>G26-D26-E26-F26</f>
        <v/>
      </c>
      <c r="I26" s="7">
        <f>I25+H26</f>
        <v/>
      </c>
    </row>
    <row r="27">
      <c r="B27" t="n">
        <v>22</v>
      </c>
      <c r="C27">
        <f>IF(B27&lt;='1_Inputs'!$B$53,"Planta 1 (obra)",IF(B27&lt;=2*'1_Inputs'!$B$53,"Planta 2 (obra)",IF(B27&lt;=3*'1_Inputs'!$B$53,"Planta 3 (obra)","Completo (alquilado)")))</f>
        <v/>
      </c>
      <c r="D27" s="7">
        <f>IF(B27&lt;=3*'1_Inputs'!$B$53,(('4_Comparativa'!$C$30-'4_Comparativa'!$C$29)/3)/'1_Inputs'!$B$53,0)+IF(B27=1,'4_Comparativa'!$C$29,0)</f>
        <v/>
      </c>
      <c r="E27" s="7">
        <f>'4_Comparativa'!$C$16</f>
        <v/>
      </c>
      <c r="F27" s="7">
        <f>'2_Rehipoteca'!$B$16</f>
        <v/>
      </c>
      <c r="G27" s="7">
        <f>('4_Comparativa'!$C$35*2)*(IF(B27&gt;'1_Inputs'!$B$53,1,0)+IF(B27&gt;2*'1_Inputs'!$B$53,1,0)+IF(B27&gt;3*'1_Inputs'!$B$53,1,0))</f>
        <v/>
      </c>
      <c r="H27" s="7">
        <f>G27-D27-E27-F27</f>
        <v/>
      </c>
      <c r="I27" s="7">
        <f>I26+H27</f>
        <v/>
      </c>
    </row>
    <row r="28">
      <c r="B28" t="n">
        <v>23</v>
      </c>
      <c r="C28">
        <f>IF(B28&lt;='1_Inputs'!$B$53,"Planta 1 (obra)",IF(B28&lt;=2*'1_Inputs'!$B$53,"Planta 2 (obra)",IF(B28&lt;=3*'1_Inputs'!$B$53,"Planta 3 (obra)","Completo (alquilado)")))</f>
        <v/>
      </c>
      <c r="D28" s="7">
        <f>IF(B28&lt;=3*'1_Inputs'!$B$53,(('4_Comparativa'!$C$30-'4_Comparativa'!$C$29)/3)/'1_Inputs'!$B$53,0)+IF(B28=1,'4_Comparativa'!$C$29,0)</f>
        <v/>
      </c>
      <c r="E28" s="7">
        <f>'4_Comparativa'!$C$16</f>
        <v/>
      </c>
      <c r="F28" s="7">
        <f>'2_Rehipoteca'!$B$16</f>
        <v/>
      </c>
      <c r="G28" s="7">
        <f>('4_Comparativa'!$C$35*2)*(IF(B28&gt;'1_Inputs'!$B$53,1,0)+IF(B28&gt;2*'1_Inputs'!$B$53,1,0)+IF(B28&gt;3*'1_Inputs'!$B$53,1,0))</f>
        <v/>
      </c>
      <c r="H28" s="7">
        <f>G28-D28-E28-F28</f>
        <v/>
      </c>
      <c r="I28" s="7">
        <f>I27+H28</f>
        <v/>
      </c>
    </row>
    <row r="29">
      <c r="B29" t="n">
        <v>24</v>
      </c>
      <c r="C29">
        <f>IF(B29&lt;='1_Inputs'!$B$53,"Planta 1 (obra)",IF(B29&lt;=2*'1_Inputs'!$B$53,"Planta 2 (obra)",IF(B29&lt;=3*'1_Inputs'!$B$53,"Planta 3 (obra)","Completo (alquilado)")))</f>
        <v/>
      </c>
      <c r="D29" s="7">
        <f>IF(B29&lt;=3*'1_Inputs'!$B$53,(('4_Comparativa'!$C$30-'4_Comparativa'!$C$29)/3)/'1_Inputs'!$B$53,0)+IF(B29=1,'4_Comparativa'!$C$29,0)</f>
        <v/>
      </c>
      <c r="E29" s="7">
        <f>'4_Comparativa'!$C$16</f>
        <v/>
      </c>
      <c r="F29" s="7">
        <f>'2_Rehipoteca'!$B$16</f>
        <v/>
      </c>
      <c r="G29" s="7">
        <f>('4_Comparativa'!$C$35*2)*(IF(B29&gt;'1_Inputs'!$B$53,1,0)+IF(B29&gt;2*'1_Inputs'!$B$53,1,0)+IF(B29&gt;3*'1_Inputs'!$B$53,1,0))</f>
        <v/>
      </c>
      <c r="H29" s="7">
        <f>G29-D29-E29-F29</f>
        <v/>
      </c>
      <c r="I29" s="7">
        <f>I28+H29</f>
        <v/>
      </c>
    </row>
    <row r="30">
      <c r="B30" t="n">
        <v>25</v>
      </c>
      <c r="C30">
        <f>IF(B30&lt;='1_Inputs'!$B$53,"Planta 1 (obra)",IF(B30&lt;=2*'1_Inputs'!$B$53,"Planta 2 (obra)",IF(B30&lt;=3*'1_Inputs'!$B$53,"Planta 3 (obra)","Completo (alquilado)")))</f>
        <v/>
      </c>
      <c r="D30" s="7">
        <f>IF(B30&lt;=3*'1_Inputs'!$B$53,(('4_Comparativa'!$C$30-'4_Comparativa'!$C$29)/3)/'1_Inputs'!$B$53,0)+IF(B30=1,'4_Comparativa'!$C$29,0)</f>
        <v/>
      </c>
      <c r="E30" s="7">
        <f>'4_Comparativa'!$C$16</f>
        <v/>
      </c>
      <c r="F30" s="7">
        <f>'2_Rehipoteca'!$B$16</f>
        <v/>
      </c>
      <c r="G30" s="7">
        <f>('4_Comparativa'!$C$35*2)*(IF(B30&gt;'1_Inputs'!$B$53,1,0)+IF(B30&gt;2*'1_Inputs'!$B$53,1,0)+IF(B30&gt;3*'1_Inputs'!$B$53,1,0))</f>
        <v/>
      </c>
      <c r="H30" s="7">
        <f>G30-D30-E30-F30</f>
        <v/>
      </c>
      <c r="I30" s="7">
        <f>I29+H30</f>
        <v/>
      </c>
    </row>
    <row r="31">
      <c r="B31" t="n">
        <v>26</v>
      </c>
      <c r="C31">
        <f>IF(B31&lt;='1_Inputs'!$B$53,"Planta 1 (obra)",IF(B31&lt;=2*'1_Inputs'!$B$53,"Planta 2 (obra)",IF(B31&lt;=3*'1_Inputs'!$B$53,"Planta 3 (obra)","Completo (alquilado)")))</f>
        <v/>
      </c>
      <c r="D31" s="7">
        <f>IF(B31&lt;=3*'1_Inputs'!$B$53,(('4_Comparativa'!$C$30-'4_Comparativa'!$C$29)/3)/'1_Inputs'!$B$53,0)+IF(B31=1,'4_Comparativa'!$C$29,0)</f>
        <v/>
      </c>
      <c r="E31" s="7">
        <f>'4_Comparativa'!$C$16</f>
        <v/>
      </c>
      <c r="F31" s="7">
        <f>'2_Rehipoteca'!$B$16</f>
        <v/>
      </c>
      <c r="G31" s="7">
        <f>('4_Comparativa'!$C$35*2)*(IF(B31&gt;'1_Inputs'!$B$53,1,0)+IF(B31&gt;2*'1_Inputs'!$B$53,1,0)+IF(B31&gt;3*'1_Inputs'!$B$53,1,0))</f>
        <v/>
      </c>
      <c r="H31" s="7">
        <f>G31-D31-E31-F31</f>
        <v/>
      </c>
      <c r="I31" s="7">
        <f>I30+H31</f>
        <v/>
      </c>
    </row>
    <row r="32">
      <c r="B32" t="n">
        <v>27</v>
      </c>
      <c r="C32">
        <f>IF(B32&lt;='1_Inputs'!$B$53,"Planta 1 (obra)",IF(B32&lt;=2*'1_Inputs'!$B$53,"Planta 2 (obra)",IF(B32&lt;=3*'1_Inputs'!$B$53,"Planta 3 (obra)","Completo (alquilado)")))</f>
        <v/>
      </c>
      <c r="D32" s="7">
        <f>IF(B32&lt;=3*'1_Inputs'!$B$53,(('4_Comparativa'!$C$30-'4_Comparativa'!$C$29)/3)/'1_Inputs'!$B$53,0)+IF(B32=1,'4_Comparativa'!$C$29,0)</f>
        <v/>
      </c>
      <c r="E32" s="7">
        <f>'4_Comparativa'!$C$16</f>
        <v/>
      </c>
      <c r="F32" s="7">
        <f>'2_Rehipoteca'!$B$16</f>
        <v/>
      </c>
      <c r="G32" s="7">
        <f>('4_Comparativa'!$C$35*2)*(IF(B32&gt;'1_Inputs'!$B$53,1,0)+IF(B32&gt;2*'1_Inputs'!$B$53,1,0)+IF(B32&gt;3*'1_Inputs'!$B$53,1,0))</f>
        <v/>
      </c>
      <c r="H32" s="7">
        <f>G32-D32-E32-F32</f>
        <v/>
      </c>
      <c r="I32" s="7">
        <f>I31+H32</f>
        <v/>
      </c>
    </row>
    <row r="33">
      <c r="B33" t="n">
        <v>28</v>
      </c>
      <c r="C33">
        <f>IF(B33&lt;='1_Inputs'!$B$53,"Planta 1 (obra)",IF(B33&lt;=2*'1_Inputs'!$B$53,"Planta 2 (obra)",IF(B33&lt;=3*'1_Inputs'!$B$53,"Planta 3 (obra)","Completo (alquilado)")))</f>
        <v/>
      </c>
      <c r="D33" s="7">
        <f>IF(B33&lt;=3*'1_Inputs'!$B$53,(('4_Comparativa'!$C$30-'4_Comparativa'!$C$29)/3)/'1_Inputs'!$B$53,0)+IF(B33=1,'4_Comparativa'!$C$29,0)</f>
        <v/>
      </c>
      <c r="E33" s="7">
        <f>'4_Comparativa'!$C$16</f>
        <v/>
      </c>
      <c r="F33" s="7">
        <f>'2_Rehipoteca'!$B$16</f>
        <v/>
      </c>
      <c r="G33" s="7">
        <f>('4_Comparativa'!$C$35*2)*(IF(B33&gt;'1_Inputs'!$B$53,1,0)+IF(B33&gt;2*'1_Inputs'!$B$53,1,0)+IF(B33&gt;3*'1_Inputs'!$B$53,1,0))</f>
        <v/>
      </c>
      <c r="H33" s="7">
        <f>G33-D33-E33-F33</f>
        <v/>
      </c>
      <c r="I33" s="7">
        <f>I32+H33</f>
        <v/>
      </c>
    </row>
    <row r="34">
      <c r="B34" t="n">
        <v>29</v>
      </c>
      <c r="C34">
        <f>IF(B34&lt;='1_Inputs'!$B$53,"Planta 1 (obra)",IF(B34&lt;=2*'1_Inputs'!$B$53,"Planta 2 (obra)",IF(B34&lt;=3*'1_Inputs'!$B$53,"Planta 3 (obra)","Completo (alquilado)")))</f>
        <v/>
      </c>
      <c r="D34" s="7">
        <f>IF(B34&lt;=3*'1_Inputs'!$B$53,(('4_Comparativa'!$C$30-'4_Comparativa'!$C$29)/3)/'1_Inputs'!$B$53,0)+IF(B34=1,'4_Comparativa'!$C$29,0)</f>
        <v/>
      </c>
      <c r="E34" s="7">
        <f>'4_Comparativa'!$C$16</f>
        <v/>
      </c>
      <c r="F34" s="7">
        <f>'2_Rehipoteca'!$B$16</f>
        <v/>
      </c>
      <c r="G34" s="7">
        <f>('4_Comparativa'!$C$35*2)*(IF(B34&gt;'1_Inputs'!$B$53,1,0)+IF(B34&gt;2*'1_Inputs'!$B$53,1,0)+IF(B34&gt;3*'1_Inputs'!$B$53,1,0))</f>
        <v/>
      </c>
      <c r="H34" s="7">
        <f>G34-D34-E34-F34</f>
        <v/>
      </c>
      <c r="I34" s="7">
        <f>I33+H34</f>
        <v/>
      </c>
    </row>
    <row r="35">
      <c r="B35" t="n">
        <v>30</v>
      </c>
      <c r="C35">
        <f>IF(B35&lt;='1_Inputs'!$B$53,"Planta 1 (obra)",IF(B35&lt;=2*'1_Inputs'!$B$53,"Planta 2 (obra)",IF(B35&lt;=3*'1_Inputs'!$B$53,"Planta 3 (obra)","Completo (alquilado)")))</f>
        <v/>
      </c>
      <c r="D35" s="7">
        <f>IF(B35&lt;=3*'1_Inputs'!$B$53,(('4_Comparativa'!$C$30-'4_Comparativa'!$C$29)/3)/'1_Inputs'!$B$53,0)+IF(B35=1,'4_Comparativa'!$C$29,0)</f>
        <v/>
      </c>
      <c r="E35" s="7">
        <f>'4_Comparativa'!$C$16</f>
        <v/>
      </c>
      <c r="F35" s="7">
        <f>'2_Rehipoteca'!$B$16</f>
        <v/>
      </c>
      <c r="G35" s="7">
        <f>('4_Comparativa'!$C$35*2)*(IF(B35&gt;'1_Inputs'!$B$53,1,0)+IF(B35&gt;2*'1_Inputs'!$B$53,1,0)+IF(B35&gt;3*'1_Inputs'!$B$53,1,0))</f>
        <v/>
      </c>
      <c r="H35" s="7">
        <f>G35-D35-E35-F35</f>
        <v/>
      </c>
      <c r="I35" s="7">
        <f>I34+H35</f>
        <v/>
      </c>
    </row>
    <row r="36">
      <c r="B36" t="n">
        <v>31</v>
      </c>
      <c r="C36">
        <f>IF(B36&lt;='1_Inputs'!$B$53,"Planta 1 (obra)",IF(B36&lt;=2*'1_Inputs'!$B$53,"Planta 2 (obra)",IF(B36&lt;=3*'1_Inputs'!$B$53,"Planta 3 (obra)","Completo (alquilado)")))</f>
        <v/>
      </c>
      <c r="D36" s="7">
        <f>IF(B36&lt;=3*'1_Inputs'!$B$53,(('4_Comparativa'!$C$30-'4_Comparativa'!$C$29)/3)/'1_Inputs'!$B$53,0)+IF(B36=1,'4_Comparativa'!$C$29,0)</f>
        <v/>
      </c>
      <c r="E36" s="7">
        <f>'4_Comparativa'!$C$16</f>
        <v/>
      </c>
      <c r="F36" s="7">
        <f>'2_Rehipoteca'!$B$16</f>
        <v/>
      </c>
      <c r="G36" s="7">
        <f>('4_Comparativa'!$C$35*2)*(IF(B36&gt;'1_Inputs'!$B$53,1,0)+IF(B36&gt;2*'1_Inputs'!$B$53,1,0)+IF(B36&gt;3*'1_Inputs'!$B$53,1,0))</f>
        <v/>
      </c>
      <c r="H36" s="7">
        <f>G36-D36-E36-F36</f>
        <v/>
      </c>
      <c r="I36" s="7">
        <f>I35+H36</f>
        <v/>
      </c>
    </row>
    <row r="37">
      <c r="B37" t="n">
        <v>32</v>
      </c>
      <c r="C37">
        <f>IF(B37&lt;='1_Inputs'!$B$53,"Planta 1 (obra)",IF(B37&lt;=2*'1_Inputs'!$B$53,"Planta 2 (obra)",IF(B37&lt;=3*'1_Inputs'!$B$53,"Planta 3 (obra)","Completo (alquilado)")))</f>
        <v/>
      </c>
      <c r="D37" s="7">
        <f>IF(B37&lt;=3*'1_Inputs'!$B$53,(('4_Comparativa'!$C$30-'4_Comparativa'!$C$29)/3)/'1_Inputs'!$B$53,0)+IF(B37=1,'4_Comparativa'!$C$29,0)</f>
        <v/>
      </c>
      <c r="E37" s="7">
        <f>'4_Comparativa'!$C$16</f>
        <v/>
      </c>
      <c r="F37" s="7">
        <f>'2_Rehipoteca'!$B$16</f>
        <v/>
      </c>
      <c r="G37" s="7">
        <f>('4_Comparativa'!$C$35*2)*(IF(B37&gt;'1_Inputs'!$B$53,1,0)+IF(B37&gt;2*'1_Inputs'!$B$53,1,0)+IF(B37&gt;3*'1_Inputs'!$B$53,1,0))</f>
        <v/>
      </c>
      <c r="H37" s="7">
        <f>G37-D37-E37-F37</f>
        <v/>
      </c>
      <c r="I37" s="7">
        <f>I36+H37</f>
        <v/>
      </c>
    </row>
    <row r="38">
      <c r="B38" t="n">
        <v>33</v>
      </c>
      <c r="C38">
        <f>IF(B38&lt;='1_Inputs'!$B$53,"Planta 1 (obra)",IF(B38&lt;=2*'1_Inputs'!$B$53,"Planta 2 (obra)",IF(B38&lt;=3*'1_Inputs'!$B$53,"Planta 3 (obra)","Completo (alquilado)")))</f>
        <v/>
      </c>
      <c r="D38" s="7">
        <f>IF(B38&lt;=3*'1_Inputs'!$B$53,(('4_Comparativa'!$C$30-'4_Comparativa'!$C$29)/3)/'1_Inputs'!$B$53,0)+IF(B38=1,'4_Comparativa'!$C$29,0)</f>
        <v/>
      </c>
      <c r="E38" s="7">
        <f>'4_Comparativa'!$C$16</f>
        <v/>
      </c>
      <c r="F38" s="7">
        <f>'2_Rehipoteca'!$B$16</f>
        <v/>
      </c>
      <c r="G38" s="7">
        <f>('4_Comparativa'!$C$35*2)*(IF(B38&gt;'1_Inputs'!$B$53,1,0)+IF(B38&gt;2*'1_Inputs'!$B$53,1,0)+IF(B38&gt;3*'1_Inputs'!$B$53,1,0))</f>
        <v/>
      </c>
      <c r="H38" s="7">
        <f>G38-D38-E38-F38</f>
        <v/>
      </c>
      <c r="I38" s="7">
        <f>I37+H38</f>
        <v/>
      </c>
    </row>
    <row r="39">
      <c r="B39" t="n">
        <v>34</v>
      </c>
      <c r="C39">
        <f>IF(B39&lt;='1_Inputs'!$B$53,"Planta 1 (obra)",IF(B39&lt;=2*'1_Inputs'!$B$53,"Planta 2 (obra)",IF(B39&lt;=3*'1_Inputs'!$B$53,"Planta 3 (obra)","Completo (alquilado)")))</f>
        <v/>
      </c>
      <c r="D39" s="7">
        <f>IF(B39&lt;=3*'1_Inputs'!$B$53,(('4_Comparativa'!$C$30-'4_Comparativa'!$C$29)/3)/'1_Inputs'!$B$53,0)+IF(B39=1,'4_Comparativa'!$C$29,0)</f>
        <v/>
      </c>
      <c r="E39" s="7">
        <f>'4_Comparativa'!$C$16</f>
        <v/>
      </c>
      <c r="F39" s="7">
        <f>'2_Rehipoteca'!$B$16</f>
        <v/>
      </c>
      <c r="G39" s="7">
        <f>('4_Comparativa'!$C$35*2)*(IF(B39&gt;'1_Inputs'!$B$53,1,0)+IF(B39&gt;2*'1_Inputs'!$B$53,1,0)+IF(B39&gt;3*'1_Inputs'!$B$53,1,0))</f>
        <v/>
      </c>
      <c r="H39" s="7">
        <f>G39-D39-E39-F39</f>
        <v/>
      </c>
      <c r="I39" s="7">
        <f>I38+H39</f>
        <v/>
      </c>
    </row>
    <row r="40">
      <c r="B40" t="n">
        <v>35</v>
      </c>
      <c r="C40">
        <f>IF(B40&lt;='1_Inputs'!$B$53,"Planta 1 (obra)",IF(B40&lt;=2*'1_Inputs'!$B$53,"Planta 2 (obra)",IF(B40&lt;=3*'1_Inputs'!$B$53,"Planta 3 (obra)","Completo (alquilado)")))</f>
        <v/>
      </c>
      <c r="D40" s="7">
        <f>IF(B40&lt;=3*'1_Inputs'!$B$53,(('4_Comparativa'!$C$30-'4_Comparativa'!$C$29)/3)/'1_Inputs'!$B$53,0)+IF(B40=1,'4_Comparativa'!$C$29,0)</f>
        <v/>
      </c>
      <c r="E40" s="7">
        <f>'4_Comparativa'!$C$16</f>
        <v/>
      </c>
      <c r="F40" s="7">
        <f>'2_Rehipoteca'!$B$16</f>
        <v/>
      </c>
      <c r="G40" s="7">
        <f>('4_Comparativa'!$C$35*2)*(IF(B40&gt;'1_Inputs'!$B$53,1,0)+IF(B40&gt;2*'1_Inputs'!$B$53,1,0)+IF(B40&gt;3*'1_Inputs'!$B$53,1,0))</f>
        <v/>
      </c>
      <c r="H40" s="7">
        <f>G40-D40-E40-F40</f>
        <v/>
      </c>
      <c r="I40" s="7">
        <f>I39+H40</f>
        <v/>
      </c>
    </row>
    <row r="41">
      <c r="B41" t="n">
        <v>36</v>
      </c>
      <c r="C41">
        <f>IF(B41&lt;='1_Inputs'!$B$53,"Planta 1 (obra)",IF(B41&lt;=2*'1_Inputs'!$B$53,"Planta 2 (obra)",IF(B41&lt;=3*'1_Inputs'!$B$53,"Planta 3 (obra)","Completo (alquilado)")))</f>
        <v/>
      </c>
      <c r="D41" s="7">
        <f>IF(B41&lt;=3*'1_Inputs'!$B$53,(('4_Comparativa'!$C$30-'4_Comparativa'!$C$29)/3)/'1_Inputs'!$B$53,0)+IF(B41=1,'4_Comparativa'!$C$29,0)</f>
        <v/>
      </c>
      <c r="E41" s="7">
        <f>'4_Comparativa'!$C$16</f>
        <v/>
      </c>
      <c r="F41" s="7">
        <f>'2_Rehipoteca'!$B$16</f>
        <v/>
      </c>
      <c r="G41" s="7">
        <f>('4_Comparativa'!$C$35*2)*(IF(B41&gt;'1_Inputs'!$B$53,1,0)+IF(B41&gt;2*'1_Inputs'!$B$53,1,0)+IF(B41&gt;3*'1_Inputs'!$B$53,1,0))</f>
        <v/>
      </c>
      <c r="H41" s="7">
        <f>G41-D41-E41-F41</f>
        <v/>
      </c>
      <c r="I41" s="7">
        <f>I40+H41</f>
        <v/>
      </c>
    </row>
    <row r="42">
      <c r="B42" s="4" t="inlineStr">
        <is>
          <t>PUNTO DE MÁXIMA TENSIÓN DE CAJA (€)</t>
        </is>
      </c>
      <c r="I42" s="23">
        <f>MIN(I6:I41)</f>
        <v/>
      </c>
    </row>
    <row r="43">
      <c r="B43" t="inlineStr">
        <is>
          <t>Caja final mes 36 (€)</t>
        </is>
      </c>
      <c r="I43" s="7">
        <f>I41</f>
        <v/>
      </c>
    </row>
    <row r="47">
      <c r="B47" s="5" t="inlineStr">
        <is>
          <t>ESCENARIO B — Intermedio (275.000€)</t>
        </is>
      </c>
      <c r="C47" s="6" t="n"/>
      <c r="D47" s="6" t="n"/>
      <c r="E47" s="6" t="n"/>
      <c r="F47" s="6" t="n"/>
      <c r="G47" s="6" t="n"/>
      <c r="H47" s="6" t="n"/>
      <c r="I47" s="6" t="n"/>
    </row>
    <row r="48">
      <c r="B48" s="22" t="inlineStr">
        <is>
          <t>Mes</t>
        </is>
      </c>
      <c r="C48" s="22" t="inlineStr">
        <is>
          <t>Planta activa</t>
        </is>
      </c>
      <c r="D48" s="22" t="inlineStr">
        <is>
          <t>Coste reforma mes (€)</t>
        </is>
      </c>
      <c r="E48" s="22" t="inlineStr">
        <is>
          <t>Cuota edificio (€)</t>
        </is>
      </c>
      <c r="F48" s="22" t="inlineStr">
        <is>
          <t>Cuota San Antonio (€)</t>
        </is>
      </c>
      <c r="G48" s="22" t="inlineStr">
        <is>
          <t>Alquiler cobrado (€)</t>
        </is>
      </c>
      <c r="H48" s="22" t="inlineStr">
        <is>
          <t>Flujo neto mes (€)</t>
        </is>
      </c>
      <c r="I48" s="22" t="inlineStr">
        <is>
          <t>Caja acumulada (€)</t>
        </is>
      </c>
    </row>
    <row r="49">
      <c r="B49" t="n">
        <v>1</v>
      </c>
      <c r="C49">
        <f>IF(B49&lt;='1_Inputs'!$B$53,"Planta 1 (obra)",IF(B49&lt;=2*'1_Inputs'!$B$53,"Planta 2 (obra)",IF(B49&lt;=3*'1_Inputs'!$B$53,"Planta 3 (obra)","Completo (alquilado)")))</f>
        <v/>
      </c>
      <c r="D49" s="7">
        <f>IF(B49&lt;=3*'1_Inputs'!$B$53,(('4_Comparativa'!$D$30-'4_Comparativa'!$D$29)/3)/'1_Inputs'!$B$53,0)+IF(B49=1,'4_Comparativa'!$D$29,0)</f>
        <v/>
      </c>
      <c r="E49" s="7">
        <f>'4_Comparativa'!$D$16</f>
        <v/>
      </c>
      <c r="F49" s="7">
        <f>'2_Rehipoteca'!$B$16</f>
        <v/>
      </c>
      <c r="G49" s="7">
        <f>('4_Comparativa'!$D$35*2)*(IF(B49&gt;'1_Inputs'!$B$53,1,0)+IF(B49&gt;2*'1_Inputs'!$B$53,1,0)+IF(B49&gt;3*'1_Inputs'!$B$53,1,0))</f>
        <v/>
      </c>
      <c r="H49" s="7">
        <f>G49-D49-E49-F49</f>
        <v/>
      </c>
      <c r="I49" s="7">
        <f>'4_Comparativa'!$D$32+H49</f>
        <v/>
      </c>
    </row>
    <row r="50">
      <c r="B50" t="n">
        <v>2</v>
      </c>
      <c r="C50">
        <f>IF(B50&lt;='1_Inputs'!$B$53,"Planta 1 (obra)",IF(B50&lt;=2*'1_Inputs'!$B$53,"Planta 2 (obra)",IF(B50&lt;=3*'1_Inputs'!$B$53,"Planta 3 (obra)","Completo (alquilado)")))</f>
        <v/>
      </c>
      <c r="D50" s="7">
        <f>IF(B50&lt;=3*'1_Inputs'!$B$53,(('4_Comparativa'!$D$30-'4_Comparativa'!$D$29)/3)/'1_Inputs'!$B$53,0)+IF(B50=1,'4_Comparativa'!$D$29,0)</f>
        <v/>
      </c>
      <c r="E50" s="7">
        <f>'4_Comparativa'!$D$16</f>
        <v/>
      </c>
      <c r="F50" s="7">
        <f>'2_Rehipoteca'!$B$16</f>
        <v/>
      </c>
      <c r="G50" s="7">
        <f>('4_Comparativa'!$D$35*2)*(IF(B50&gt;'1_Inputs'!$B$53,1,0)+IF(B50&gt;2*'1_Inputs'!$B$53,1,0)+IF(B50&gt;3*'1_Inputs'!$B$53,1,0))</f>
        <v/>
      </c>
      <c r="H50" s="7">
        <f>G50-D50-E50-F50</f>
        <v/>
      </c>
      <c r="I50" s="7">
        <f>I49+H50</f>
        <v/>
      </c>
    </row>
    <row r="51">
      <c r="B51" t="n">
        <v>3</v>
      </c>
      <c r="C51">
        <f>IF(B51&lt;='1_Inputs'!$B$53,"Planta 1 (obra)",IF(B51&lt;=2*'1_Inputs'!$B$53,"Planta 2 (obra)",IF(B51&lt;=3*'1_Inputs'!$B$53,"Planta 3 (obra)","Completo (alquilado)")))</f>
        <v/>
      </c>
      <c r="D51" s="7">
        <f>IF(B51&lt;=3*'1_Inputs'!$B$53,(('4_Comparativa'!$D$30-'4_Comparativa'!$D$29)/3)/'1_Inputs'!$B$53,0)+IF(B51=1,'4_Comparativa'!$D$29,0)</f>
        <v/>
      </c>
      <c r="E51" s="7">
        <f>'4_Comparativa'!$D$16</f>
        <v/>
      </c>
      <c r="F51" s="7">
        <f>'2_Rehipoteca'!$B$16</f>
        <v/>
      </c>
      <c r="G51" s="7">
        <f>('4_Comparativa'!$D$35*2)*(IF(B51&gt;'1_Inputs'!$B$53,1,0)+IF(B51&gt;2*'1_Inputs'!$B$53,1,0)+IF(B51&gt;3*'1_Inputs'!$B$53,1,0))</f>
        <v/>
      </c>
      <c r="H51" s="7">
        <f>G51-D51-E51-F51</f>
        <v/>
      </c>
      <c r="I51" s="7">
        <f>I50+H51</f>
        <v/>
      </c>
    </row>
    <row r="52">
      <c r="B52" t="n">
        <v>4</v>
      </c>
      <c r="C52">
        <f>IF(B52&lt;='1_Inputs'!$B$53,"Planta 1 (obra)",IF(B52&lt;=2*'1_Inputs'!$B$53,"Planta 2 (obra)",IF(B52&lt;=3*'1_Inputs'!$B$53,"Planta 3 (obra)","Completo (alquilado)")))</f>
        <v/>
      </c>
      <c r="D52" s="7">
        <f>IF(B52&lt;=3*'1_Inputs'!$B$53,(('4_Comparativa'!$D$30-'4_Comparativa'!$D$29)/3)/'1_Inputs'!$B$53,0)+IF(B52=1,'4_Comparativa'!$D$29,0)</f>
        <v/>
      </c>
      <c r="E52" s="7">
        <f>'4_Comparativa'!$D$16</f>
        <v/>
      </c>
      <c r="F52" s="7">
        <f>'2_Rehipoteca'!$B$16</f>
        <v/>
      </c>
      <c r="G52" s="7">
        <f>('4_Comparativa'!$D$35*2)*(IF(B52&gt;'1_Inputs'!$B$53,1,0)+IF(B52&gt;2*'1_Inputs'!$B$53,1,0)+IF(B52&gt;3*'1_Inputs'!$B$53,1,0))</f>
        <v/>
      </c>
      <c r="H52" s="7">
        <f>G52-D52-E52-F52</f>
        <v/>
      </c>
      <c r="I52" s="7">
        <f>I51+H52</f>
        <v/>
      </c>
    </row>
    <row r="53">
      <c r="B53" t="n">
        <v>5</v>
      </c>
      <c r="C53">
        <f>IF(B53&lt;='1_Inputs'!$B$53,"Planta 1 (obra)",IF(B53&lt;=2*'1_Inputs'!$B$53,"Planta 2 (obra)",IF(B53&lt;=3*'1_Inputs'!$B$53,"Planta 3 (obra)","Completo (alquilado)")))</f>
        <v/>
      </c>
      <c r="D53" s="7">
        <f>IF(B53&lt;=3*'1_Inputs'!$B$53,(('4_Comparativa'!$D$30-'4_Comparativa'!$D$29)/3)/'1_Inputs'!$B$53,0)+IF(B53=1,'4_Comparativa'!$D$29,0)</f>
        <v/>
      </c>
      <c r="E53" s="7">
        <f>'4_Comparativa'!$D$16</f>
        <v/>
      </c>
      <c r="F53" s="7">
        <f>'2_Rehipoteca'!$B$16</f>
        <v/>
      </c>
      <c r="G53" s="7">
        <f>('4_Comparativa'!$D$35*2)*(IF(B53&gt;'1_Inputs'!$B$53,1,0)+IF(B53&gt;2*'1_Inputs'!$B$53,1,0)+IF(B53&gt;3*'1_Inputs'!$B$53,1,0))</f>
        <v/>
      </c>
      <c r="H53" s="7">
        <f>G53-D53-E53-F53</f>
        <v/>
      </c>
      <c r="I53" s="7">
        <f>I52+H53</f>
        <v/>
      </c>
    </row>
    <row r="54">
      <c r="B54" t="n">
        <v>6</v>
      </c>
      <c r="C54">
        <f>IF(B54&lt;='1_Inputs'!$B$53,"Planta 1 (obra)",IF(B54&lt;=2*'1_Inputs'!$B$53,"Planta 2 (obra)",IF(B54&lt;=3*'1_Inputs'!$B$53,"Planta 3 (obra)","Completo (alquilado)")))</f>
        <v/>
      </c>
      <c r="D54" s="7">
        <f>IF(B54&lt;=3*'1_Inputs'!$B$53,(('4_Comparativa'!$D$30-'4_Comparativa'!$D$29)/3)/'1_Inputs'!$B$53,0)+IF(B54=1,'4_Comparativa'!$D$29,0)</f>
        <v/>
      </c>
      <c r="E54" s="7">
        <f>'4_Comparativa'!$D$16</f>
        <v/>
      </c>
      <c r="F54" s="7">
        <f>'2_Rehipoteca'!$B$16</f>
        <v/>
      </c>
      <c r="G54" s="7">
        <f>('4_Comparativa'!$D$35*2)*(IF(B54&gt;'1_Inputs'!$B$53,1,0)+IF(B54&gt;2*'1_Inputs'!$B$53,1,0)+IF(B54&gt;3*'1_Inputs'!$B$53,1,0))</f>
        <v/>
      </c>
      <c r="H54" s="7">
        <f>G54-D54-E54-F54</f>
        <v/>
      </c>
      <c r="I54" s="7">
        <f>I53+H54</f>
        <v/>
      </c>
    </row>
    <row r="55">
      <c r="B55" t="n">
        <v>7</v>
      </c>
      <c r="C55">
        <f>IF(B55&lt;='1_Inputs'!$B$53,"Planta 1 (obra)",IF(B55&lt;=2*'1_Inputs'!$B$53,"Planta 2 (obra)",IF(B55&lt;=3*'1_Inputs'!$B$53,"Planta 3 (obra)","Completo (alquilado)")))</f>
        <v/>
      </c>
      <c r="D55" s="7">
        <f>IF(B55&lt;=3*'1_Inputs'!$B$53,(('4_Comparativa'!$D$30-'4_Comparativa'!$D$29)/3)/'1_Inputs'!$B$53,0)+IF(B55=1,'4_Comparativa'!$D$29,0)</f>
        <v/>
      </c>
      <c r="E55" s="7">
        <f>'4_Comparativa'!$D$16</f>
        <v/>
      </c>
      <c r="F55" s="7">
        <f>'2_Rehipoteca'!$B$16</f>
        <v/>
      </c>
      <c r="G55" s="7">
        <f>('4_Comparativa'!$D$35*2)*(IF(B55&gt;'1_Inputs'!$B$53,1,0)+IF(B55&gt;2*'1_Inputs'!$B$53,1,0)+IF(B55&gt;3*'1_Inputs'!$B$53,1,0))</f>
        <v/>
      </c>
      <c r="H55" s="7">
        <f>G55-D55-E55-F55</f>
        <v/>
      </c>
      <c r="I55" s="7">
        <f>I54+H55</f>
        <v/>
      </c>
    </row>
    <row r="56">
      <c r="B56" t="n">
        <v>8</v>
      </c>
      <c r="C56">
        <f>IF(B56&lt;='1_Inputs'!$B$53,"Planta 1 (obra)",IF(B56&lt;=2*'1_Inputs'!$B$53,"Planta 2 (obra)",IF(B56&lt;=3*'1_Inputs'!$B$53,"Planta 3 (obra)","Completo (alquilado)")))</f>
        <v/>
      </c>
      <c r="D56" s="7">
        <f>IF(B56&lt;=3*'1_Inputs'!$B$53,(('4_Comparativa'!$D$30-'4_Comparativa'!$D$29)/3)/'1_Inputs'!$B$53,0)+IF(B56=1,'4_Comparativa'!$D$29,0)</f>
        <v/>
      </c>
      <c r="E56" s="7">
        <f>'4_Comparativa'!$D$16</f>
        <v/>
      </c>
      <c r="F56" s="7">
        <f>'2_Rehipoteca'!$B$16</f>
        <v/>
      </c>
      <c r="G56" s="7">
        <f>('4_Comparativa'!$D$35*2)*(IF(B56&gt;'1_Inputs'!$B$53,1,0)+IF(B56&gt;2*'1_Inputs'!$B$53,1,0)+IF(B56&gt;3*'1_Inputs'!$B$53,1,0))</f>
        <v/>
      </c>
      <c r="H56" s="7">
        <f>G56-D56-E56-F56</f>
        <v/>
      </c>
      <c r="I56" s="7">
        <f>I55+H56</f>
        <v/>
      </c>
    </row>
    <row r="57">
      <c r="B57" t="n">
        <v>9</v>
      </c>
      <c r="C57">
        <f>IF(B57&lt;='1_Inputs'!$B$53,"Planta 1 (obra)",IF(B57&lt;=2*'1_Inputs'!$B$53,"Planta 2 (obra)",IF(B57&lt;=3*'1_Inputs'!$B$53,"Planta 3 (obra)","Completo (alquilado)")))</f>
        <v/>
      </c>
      <c r="D57" s="7">
        <f>IF(B57&lt;=3*'1_Inputs'!$B$53,(('4_Comparativa'!$D$30-'4_Comparativa'!$D$29)/3)/'1_Inputs'!$B$53,0)+IF(B57=1,'4_Comparativa'!$D$29,0)</f>
        <v/>
      </c>
      <c r="E57" s="7">
        <f>'4_Comparativa'!$D$16</f>
        <v/>
      </c>
      <c r="F57" s="7">
        <f>'2_Rehipoteca'!$B$16</f>
        <v/>
      </c>
      <c r="G57" s="7">
        <f>('4_Comparativa'!$D$35*2)*(IF(B57&gt;'1_Inputs'!$B$53,1,0)+IF(B57&gt;2*'1_Inputs'!$B$53,1,0)+IF(B57&gt;3*'1_Inputs'!$B$53,1,0))</f>
        <v/>
      </c>
      <c r="H57" s="7">
        <f>G57-D57-E57-F57</f>
        <v/>
      </c>
      <c r="I57" s="7">
        <f>I56+H57</f>
        <v/>
      </c>
    </row>
    <row r="58">
      <c r="B58" t="n">
        <v>10</v>
      </c>
      <c r="C58">
        <f>IF(B58&lt;='1_Inputs'!$B$53,"Planta 1 (obra)",IF(B58&lt;=2*'1_Inputs'!$B$53,"Planta 2 (obra)",IF(B58&lt;=3*'1_Inputs'!$B$53,"Planta 3 (obra)","Completo (alquilado)")))</f>
        <v/>
      </c>
      <c r="D58" s="7">
        <f>IF(B58&lt;=3*'1_Inputs'!$B$53,(('4_Comparativa'!$D$30-'4_Comparativa'!$D$29)/3)/'1_Inputs'!$B$53,0)+IF(B58=1,'4_Comparativa'!$D$29,0)</f>
        <v/>
      </c>
      <c r="E58" s="7">
        <f>'4_Comparativa'!$D$16</f>
        <v/>
      </c>
      <c r="F58" s="7">
        <f>'2_Rehipoteca'!$B$16</f>
        <v/>
      </c>
      <c r="G58" s="7">
        <f>('4_Comparativa'!$D$35*2)*(IF(B58&gt;'1_Inputs'!$B$53,1,0)+IF(B58&gt;2*'1_Inputs'!$B$53,1,0)+IF(B58&gt;3*'1_Inputs'!$B$53,1,0))</f>
        <v/>
      </c>
      <c r="H58" s="7">
        <f>G58-D58-E58-F58</f>
        <v/>
      </c>
      <c r="I58" s="7">
        <f>I57+H58</f>
        <v/>
      </c>
    </row>
    <row r="59">
      <c r="B59" t="n">
        <v>11</v>
      </c>
      <c r="C59">
        <f>IF(B59&lt;='1_Inputs'!$B$53,"Planta 1 (obra)",IF(B59&lt;=2*'1_Inputs'!$B$53,"Planta 2 (obra)",IF(B59&lt;=3*'1_Inputs'!$B$53,"Planta 3 (obra)","Completo (alquilado)")))</f>
        <v/>
      </c>
      <c r="D59" s="7">
        <f>IF(B59&lt;=3*'1_Inputs'!$B$53,(('4_Comparativa'!$D$30-'4_Comparativa'!$D$29)/3)/'1_Inputs'!$B$53,0)+IF(B59=1,'4_Comparativa'!$D$29,0)</f>
        <v/>
      </c>
      <c r="E59" s="7">
        <f>'4_Comparativa'!$D$16</f>
        <v/>
      </c>
      <c r="F59" s="7">
        <f>'2_Rehipoteca'!$B$16</f>
        <v/>
      </c>
      <c r="G59" s="7">
        <f>('4_Comparativa'!$D$35*2)*(IF(B59&gt;'1_Inputs'!$B$53,1,0)+IF(B59&gt;2*'1_Inputs'!$B$53,1,0)+IF(B59&gt;3*'1_Inputs'!$B$53,1,0))</f>
        <v/>
      </c>
      <c r="H59" s="7">
        <f>G59-D59-E59-F59</f>
        <v/>
      </c>
      <c r="I59" s="7">
        <f>I58+H59</f>
        <v/>
      </c>
    </row>
    <row r="60">
      <c r="B60" t="n">
        <v>12</v>
      </c>
      <c r="C60">
        <f>IF(B60&lt;='1_Inputs'!$B$53,"Planta 1 (obra)",IF(B60&lt;=2*'1_Inputs'!$B$53,"Planta 2 (obra)",IF(B60&lt;=3*'1_Inputs'!$B$53,"Planta 3 (obra)","Completo (alquilado)")))</f>
        <v/>
      </c>
      <c r="D60" s="7">
        <f>IF(B60&lt;=3*'1_Inputs'!$B$53,(('4_Comparativa'!$D$30-'4_Comparativa'!$D$29)/3)/'1_Inputs'!$B$53,0)+IF(B60=1,'4_Comparativa'!$D$29,0)</f>
        <v/>
      </c>
      <c r="E60" s="7">
        <f>'4_Comparativa'!$D$16</f>
        <v/>
      </c>
      <c r="F60" s="7">
        <f>'2_Rehipoteca'!$B$16</f>
        <v/>
      </c>
      <c r="G60" s="7">
        <f>('4_Comparativa'!$D$35*2)*(IF(B60&gt;'1_Inputs'!$B$53,1,0)+IF(B60&gt;2*'1_Inputs'!$B$53,1,0)+IF(B60&gt;3*'1_Inputs'!$B$53,1,0))</f>
        <v/>
      </c>
      <c r="H60" s="7">
        <f>G60-D60-E60-F60</f>
        <v/>
      </c>
      <c r="I60" s="7">
        <f>I59+H60</f>
        <v/>
      </c>
    </row>
    <row r="61">
      <c r="B61" t="n">
        <v>13</v>
      </c>
      <c r="C61">
        <f>IF(B61&lt;='1_Inputs'!$B$53,"Planta 1 (obra)",IF(B61&lt;=2*'1_Inputs'!$B$53,"Planta 2 (obra)",IF(B61&lt;=3*'1_Inputs'!$B$53,"Planta 3 (obra)","Completo (alquilado)")))</f>
        <v/>
      </c>
      <c r="D61" s="7">
        <f>IF(B61&lt;=3*'1_Inputs'!$B$53,(('4_Comparativa'!$D$30-'4_Comparativa'!$D$29)/3)/'1_Inputs'!$B$53,0)+IF(B61=1,'4_Comparativa'!$D$29,0)</f>
        <v/>
      </c>
      <c r="E61" s="7">
        <f>'4_Comparativa'!$D$16</f>
        <v/>
      </c>
      <c r="F61" s="7">
        <f>'2_Rehipoteca'!$B$16</f>
        <v/>
      </c>
      <c r="G61" s="7">
        <f>('4_Comparativa'!$D$35*2)*(IF(B61&gt;'1_Inputs'!$B$53,1,0)+IF(B61&gt;2*'1_Inputs'!$B$53,1,0)+IF(B61&gt;3*'1_Inputs'!$B$53,1,0))</f>
        <v/>
      </c>
      <c r="H61" s="7">
        <f>G61-D61-E61-F61</f>
        <v/>
      </c>
      <c r="I61" s="7">
        <f>I60+H61</f>
        <v/>
      </c>
    </row>
    <row r="62">
      <c r="B62" t="n">
        <v>14</v>
      </c>
      <c r="C62">
        <f>IF(B62&lt;='1_Inputs'!$B$53,"Planta 1 (obra)",IF(B62&lt;=2*'1_Inputs'!$B$53,"Planta 2 (obra)",IF(B62&lt;=3*'1_Inputs'!$B$53,"Planta 3 (obra)","Completo (alquilado)")))</f>
        <v/>
      </c>
      <c r="D62" s="7">
        <f>IF(B62&lt;=3*'1_Inputs'!$B$53,(('4_Comparativa'!$D$30-'4_Comparativa'!$D$29)/3)/'1_Inputs'!$B$53,0)+IF(B62=1,'4_Comparativa'!$D$29,0)</f>
        <v/>
      </c>
      <c r="E62" s="7">
        <f>'4_Comparativa'!$D$16</f>
        <v/>
      </c>
      <c r="F62" s="7">
        <f>'2_Rehipoteca'!$B$16</f>
        <v/>
      </c>
      <c r="G62" s="7">
        <f>('4_Comparativa'!$D$35*2)*(IF(B62&gt;'1_Inputs'!$B$53,1,0)+IF(B62&gt;2*'1_Inputs'!$B$53,1,0)+IF(B62&gt;3*'1_Inputs'!$B$53,1,0))</f>
        <v/>
      </c>
      <c r="H62" s="7">
        <f>G62-D62-E62-F62</f>
        <v/>
      </c>
      <c r="I62" s="7">
        <f>I61+H62</f>
        <v/>
      </c>
    </row>
    <row r="63">
      <c r="B63" t="n">
        <v>15</v>
      </c>
      <c r="C63">
        <f>IF(B63&lt;='1_Inputs'!$B$53,"Planta 1 (obra)",IF(B63&lt;=2*'1_Inputs'!$B$53,"Planta 2 (obra)",IF(B63&lt;=3*'1_Inputs'!$B$53,"Planta 3 (obra)","Completo (alquilado)")))</f>
        <v/>
      </c>
      <c r="D63" s="7">
        <f>IF(B63&lt;=3*'1_Inputs'!$B$53,(('4_Comparativa'!$D$30-'4_Comparativa'!$D$29)/3)/'1_Inputs'!$B$53,0)+IF(B63=1,'4_Comparativa'!$D$29,0)</f>
        <v/>
      </c>
      <c r="E63" s="7">
        <f>'4_Comparativa'!$D$16</f>
        <v/>
      </c>
      <c r="F63" s="7">
        <f>'2_Rehipoteca'!$B$16</f>
        <v/>
      </c>
      <c r="G63" s="7">
        <f>('4_Comparativa'!$D$35*2)*(IF(B63&gt;'1_Inputs'!$B$53,1,0)+IF(B63&gt;2*'1_Inputs'!$B$53,1,0)+IF(B63&gt;3*'1_Inputs'!$B$53,1,0))</f>
        <v/>
      </c>
      <c r="H63" s="7">
        <f>G63-D63-E63-F63</f>
        <v/>
      </c>
      <c r="I63" s="7">
        <f>I62+H63</f>
        <v/>
      </c>
    </row>
    <row r="64">
      <c r="B64" t="n">
        <v>16</v>
      </c>
      <c r="C64">
        <f>IF(B64&lt;='1_Inputs'!$B$53,"Planta 1 (obra)",IF(B64&lt;=2*'1_Inputs'!$B$53,"Planta 2 (obra)",IF(B64&lt;=3*'1_Inputs'!$B$53,"Planta 3 (obra)","Completo (alquilado)")))</f>
        <v/>
      </c>
      <c r="D64" s="7">
        <f>IF(B64&lt;=3*'1_Inputs'!$B$53,(('4_Comparativa'!$D$30-'4_Comparativa'!$D$29)/3)/'1_Inputs'!$B$53,0)+IF(B64=1,'4_Comparativa'!$D$29,0)</f>
        <v/>
      </c>
      <c r="E64" s="7">
        <f>'4_Comparativa'!$D$16</f>
        <v/>
      </c>
      <c r="F64" s="7">
        <f>'2_Rehipoteca'!$B$16</f>
        <v/>
      </c>
      <c r="G64" s="7">
        <f>('4_Comparativa'!$D$35*2)*(IF(B64&gt;'1_Inputs'!$B$53,1,0)+IF(B64&gt;2*'1_Inputs'!$B$53,1,0)+IF(B64&gt;3*'1_Inputs'!$B$53,1,0))</f>
        <v/>
      </c>
      <c r="H64" s="7">
        <f>G64-D64-E64-F64</f>
        <v/>
      </c>
      <c r="I64" s="7">
        <f>I63+H64</f>
        <v/>
      </c>
    </row>
    <row r="65">
      <c r="B65" t="n">
        <v>17</v>
      </c>
      <c r="C65">
        <f>IF(B65&lt;='1_Inputs'!$B$53,"Planta 1 (obra)",IF(B65&lt;=2*'1_Inputs'!$B$53,"Planta 2 (obra)",IF(B65&lt;=3*'1_Inputs'!$B$53,"Planta 3 (obra)","Completo (alquilado)")))</f>
        <v/>
      </c>
      <c r="D65" s="7">
        <f>IF(B65&lt;=3*'1_Inputs'!$B$53,(('4_Comparativa'!$D$30-'4_Comparativa'!$D$29)/3)/'1_Inputs'!$B$53,0)+IF(B65=1,'4_Comparativa'!$D$29,0)</f>
        <v/>
      </c>
      <c r="E65" s="7">
        <f>'4_Comparativa'!$D$16</f>
        <v/>
      </c>
      <c r="F65" s="7">
        <f>'2_Rehipoteca'!$B$16</f>
        <v/>
      </c>
      <c r="G65" s="7">
        <f>('4_Comparativa'!$D$35*2)*(IF(B65&gt;'1_Inputs'!$B$53,1,0)+IF(B65&gt;2*'1_Inputs'!$B$53,1,0)+IF(B65&gt;3*'1_Inputs'!$B$53,1,0))</f>
        <v/>
      </c>
      <c r="H65" s="7">
        <f>G65-D65-E65-F65</f>
        <v/>
      </c>
      <c r="I65" s="7">
        <f>I64+H65</f>
        <v/>
      </c>
    </row>
    <row r="66">
      <c r="B66" t="n">
        <v>18</v>
      </c>
      <c r="C66">
        <f>IF(B66&lt;='1_Inputs'!$B$53,"Planta 1 (obra)",IF(B66&lt;=2*'1_Inputs'!$B$53,"Planta 2 (obra)",IF(B66&lt;=3*'1_Inputs'!$B$53,"Planta 3 (obra)","Completo (alquilado)")))</f>
        <v/>
      </c>
      <c r="D66" s="7">
        <f>IF(B66&lt;=3*'1_Inputs'!$B$53,(('4_Comparativa'!$D$30-'4_Comparativa'!$D$29)/3)/'1_Inputs'!$B$53,0)+IF(B66=1,'4_Comparativa'!$D$29,0)</f>
        <v/>
      </c>
      <c r="E66" s="7">
        <f>'4_Comparativa'!$D$16</f>
        <v/>
      </c>
      <c r="F66" s="7">
        <f>'2_Rehipoteca'!$B$16</f>
        <v/>
      </c>
      <c r="G66" s="7">
        <f>('4_Comparativa'!$D$35*2)*(IF(B66&gt;'1_Inputs'!$B$53,1,0)+IF(B66&gt;2*'1_Inputs'!$B$53,1,0)+IF(B66&gt;3*'1_Inputs'!$B$53,1,0))</f>
        <v/>
      </c>
      <c r="H66" s="7">
        <f>G66-D66-E66-F66</f>
        <v/>
      </c>
      <c r="I66" s="7">
        <f>I65+H66</f>
        <v/>
      </c>
    </row>
    <row r="67">
      <c r="B67" t="n">
        <v>19</v>
      </c>
      <c r="C67">
        <f>IF(B67&lt;='1_Inputs'!$B$53,"Planta 1 (obra)",IF(B67&lt;=2*'1_Inputs'!$B$53,"Planta 2 (obra)",IF(B67&lt;=3*'1_Inputs'!$B$53,"Planta 3 (obra)","Completo (alquilado)")))</f>
        <v/>
      </c>
      <c r="D67" s="7">
        <f>IF(B67&lt;=3*'1_Inputs'!$B$53,(('4_Comparativa'!$D$30-'4_Comparativa'!$D$29)/3)/'1_Inputs'!$B$53,0)+IF(B67=1,'4_Comparativa'!$D$29,0)</f>
        <v/>
      </c>
      <c r="E67" s="7">
        <f>'4_Comparativa'!$D$16</f>
        <v/>
      </c>
      <c r="F67" s="7">
        <f>'2_Rehipoteca'!$B$16</f>
        <v/>
      </c>
      <c r="G67" s="7">
        <f>('4_Comparativa'!$D$35*2)*(IF(B67&gt;'1_Inputs'!$B$53,1,0)+IF(B67&gt;2*'1_Inputs'!$B$53,1,0)+IF(B67&gt;3*'1_Inputs'!$B$53,1,0))</f>
        <v/>
      </c>
      <c r="H67" s="7">
        <f>G67-D67-E67-F67</f>
        <v/>
      </c>
      <c r="I67" s="7">
        <f>I66+H67</f>
        <v/>
      </c>
    </row>
    <row r="68">
      <c r="B68" t="n">
        <v>20</v>
      </c>
      <c r="C68">
        <f>IF(B68&lt;='1_Inputs'!$B$53,"Planta 1 (obra)",IF(B68&lt;=2*'1_Inputs'!$B$53,"Planta 2 (obra)",IF(B68&lt;=3*'1_Inputs'!$B$53,"Planta 3 (obra)","Completo (alquilado)")))</f>
        <v/>
      </c>
      <c r="D68" s="7">
        <f>IF(B68&lt;=3*'1_Inputs'!$B$53,(('4_Comparativa'!$D$30-'4_Comparativa'!$D$29)/3)/'1_Inputs'!$B$53,0)+IF(B68=1,'4_Comparativa'!$D$29,0)</f>
        <v/>
      </c>
      <c r="E68" s="7">
        <f>'4_Comparativa'!$D$16</f>
        <v/>
      </c>
      <c r="F68" s="7">
        <f>'2_Rehipoteca'!$B$16</f>
        <v/>
      </c>
      <c r="G68" s="7">
        <f>('4_Comparativa'!$D$35*2)*(IF(B68&gt;'1_Inputs'!$B$53,1,0)+IF(B68&gt;2*'1_Inputs'!$B$53,1,0)+IF(B68&gt;3*'1_Inputs'!$B$53,1,0))</f>
        <v/>
      </c>
      <c r="H68" s="7">
        <f>G68-D68-E68-F68</f>
        <v/>
      </c>
      <c r="I68" s="7">
        <f>I67+H68</f>
        <v/>
      </c>
    </row>
    <row r="69">
      <c r="B69" t="n">
        <v>21</v>
      </c>
      <c r="C69">
        <f>IF(B69&lt;='1_Inputs'!$B$53,"Planta 1 (obra)",IF(B69&lt;=2*'1_Inputs'!$B$53,"Planta 2 (obra)",IF(B69&lt;=3*'1_Inputs'!$B$53,"Planta 3 (obra)","Completo (alquilado)")))</f>
        <v/>
      </c>
      <c r="D69" s="7">
        <f>IF(B69&lt;=3*'1_Inputs'!$B$53,(('4_Comparativa'!$D$30-'4_Comparativa'!$D$29)/3)/'1_Inputs'!$B$53,0)+IF(B69=1,'4_Comparativa'!$D$29,0)</f>
        <v/>
      </c>
      <c r="E69" s="7">
        <f>'4_Comparativa'!$D$16</f>
        <v/>
      </c>
      <c r="F69" s="7">
        <f>'2_Rehipoteca'!$B$16</f>
        <v/>
      </c>
      <c r="G69" s="7">
        <f>('4_Comparativa'!$D$35*2)*(IF(B69&gt;'1_Inputs'!$B$53,1,0)+IF(B69&gt;2*'1_Inputs'!$B$53,1,0)+IF(B69&gt;3*'1_Inputs'!$B$53,1,0))</f>
        <v/>
      </c>
      <c r="H69" s="7">
        <f>G69-D69-E69-F69</f>
        <v/>
      </c>
      <c r="I69" s="7">
        <f>I68+H69</f>
        <v/>
      </c>
    </row>
    <row r="70">
      <c r="B70" t="n">
        <v>22</v>
      </c>
      <c r="C70">
        <f>IF(B70&lt;='1_Inputs'!$B$53,"Planta 1 (obra)",IF(B70&lt;=2*'1_Inputs'!$B$53,"Planta 2 (obra)",IF(B70&lt;=3*'1_Inputs'!$B$53,"Planta 3 (obra)","Completo (alquilado)")))</f>
        <v/>
      </c>
      <c r="D70" s="7">
        <f>IF(B70&lt;=3*'1_Inputs'!$B$53,(('4_Comparativa'!$D$30-'4_Comparativa'!$D$29)/3)/'1_Inputs'!$B$53,0)+IF(B70=1,'4_Comparativa'!$D$29,0)</f>
        <v/>
      </c>
      <c r="E70" s="7">
        <f>'4_Comparativa'!$D$16</f>
        <v/>
      </c>
      <c r="F70" s="7">
        <f>'2_Rehipoteca'!$B$16</f>
        <v/>
      </c>
      <c r="G70" s="7">
        <f>('4_Comparativa'!$D$35*2)*(IF(B70&gt;'1_Inputs'!$B$53,1,0)+IF(B70&gt;2*'1_Inputs'!$B$53,1,0)+IF(B70&gt;3*'1_Inputs'!$B$53,1,0))</f>
        <v/>
      </c>
      <c r="H70" s="7">
        <f>G70-D70-E70-F70</f>
        <v/>
      </c>
      <c r="I70" s="7">
        <f>I69+H70</f>
        <v/>
      </c>
    </row>
    <row r="71">
      <c r="B71" t="n">
        <v>23</v>
      </c>
      <c r="C71">
        <f>IF(B71&lt;='1_Inputs'!$B$53,"Planta 1 (obra)",IF(B71&lt;=2*'1_Inputs'!$B$53,"Planta 2 (obra)",IF(B71&lt;=3*'1_Inputs'!$B$53,"Planta 3 (obra)","Completo (alquilado)")))</f>
        <v/>
      </c>
      <c r="D71" s="7">
        <f>IF(B71&lt;=3*'1_Inputs'!$B$53,(('4_Comparativa'!$D$30-'4_Comparativa'!$D$29)/3)/'1_Inputs'!$B$53,0)+IF(B71=1,'4_Comparativa'!$D$29,0)</f>
        <v/>
      </c>
      <c r="E71" s="7">
        <f>'4_Comparativa'!$D$16</f>
        <v/>
      </c>
      <c r="F71" s="7">
        <f>'2_Rehipoteca'!$B$16</f>
        <v/>
      </c>
      <c r="G71" s="7">
        <f>('4_Comparativa'!$D$35*2)*(IF(B71&gt;'1_Inputs'!$B$53,1,0)+IF(B71&gt;2*'1_Inputs'!$B$53,1,0)+IF(B71&gt;3*'1_Inputs'!$B$53,1,0))</f>
        <v/>
      </c>
      <c r="H71" s="7">
        <f>G71-D71-E71-F71</f>
        <v/>
      </c>
      <c r="I71" s="7">
        <f>I70+H71</f>
        <v/>
      </c>
    </row>
    <row r="72">
      <c r="B72" t="n">
        <v>24</v>
      </c>
      <c r="C72">
        <f>IF(B72&lt;='1_Inputs'!$B$53,"Planta 1 (obra)",IF(B72&lt;=2*'1_Inputs'!$B$53,"Planta 2 (obra)",IF(B72&lt;=3*'1_Inputs'!$B$53,"Planta 3 (obra)","Completo (alquilado)")))</f>
        <v/>
      </c>
      <c r="D72" s="7">
        <f>IF(B72&lt;=3*'1_Inputs'!$B$53,(('4_Comparativa'!$D$30-'4_Comparativa'!$D$29)/3)/'1_Inputs'!$B$53,0)+IF(B72=1,'4_Comparativa'!$D$29,0)</f>
        <v/>
      </c>
      <c r="E72" s="7">
        <f>'4_Comparativa'!$D$16</f>
        <v/>
      </c>
      <c r="F72" s="7">
        <f>'2_Rehipoteca'!$B$16</f>
        <v/>
      </c>
      <c r="G72" s="7">
        <f>('4_Comparativa'!$D$35*2)*(IF(B72&gt;'1_Inputs'!$B$53,1,0)+IF(B72&gt;2*'1_Inputs'!$B$53,1,0)+IF(B72&gt;3*'1_Inputs'!$B$53,1,0))</f>
        <v/>
      </c>
      <c r="H72" s="7">
        <f>G72-D72-E72-F72</f>
        <v/>
      </c>
      <c r="I72" s="7">
        <f>I71+H72</f>
        <v/>
      </c>
    </row>
    <row r="73">
      <c r="B73" t="n">
        <v>25</v>
      </c>
      <c r="C73">
        <f>IF(B73&lt;='1_Inputs'!$B$53,"Planta 1 (obra)",IF(B73&lt;=2*'1_Inputs'!$B$53,"Planta 2 (obra)",IF(B73&lt;=3*'1_Inputs'!$B$53,"Planta 3 (obra)","Completo (alquilado)")))</f>
        <v/>
      </c>
      <c r="D73" s="7">
        <f>IF(B73&lt;=3*'1_Inputs'!$B$53,(('4_Comparativa'!$D$30-'4_Comparativa'!$D$29)/3)/'1_Inputs'!$B$53,0)+IF(B73=1,'4_Comparativa'!$D$29,0)</f>
        <v/>
      </c>
      <c r="E73" s="7">
        <f>'4_Comparativa'!$D$16</f>
        <v/>
      </c>
      <c r="F73" s="7">
        <f>'2_Rehipoteca'!$B$16</f>
        <v/>
      </c>
      <c r="G73" s="7">
        <f>('4_Comparativa'!$D$35*2)*(IF(B73&gt;'1_Inputs'!$B$53,1,0)+IF(B73&gt;2*'1_Inputs'!$B$53,1,0)+IF(B73&gt;3*'1_Inputs'!$B$53,1,0))</f>
        <v/>
      </c>
      <c r="H73" s="7">
        <f>G73-D73-E73-F73</f>
        <v/>
      </c>
      <c r="I73" s="7">
        <f>I72+H73</f>
        <v/>
      </c>
    </row>
    <row r="74">
      <c r="B74" t="n">
        <v>26</v>
      </c>
      <c r="C74">
        <f>IF(B74&lt;='1_Inputs'!$B$53,"Planta 1 (obra)",IF(B74&lt;=2*'1_Inputs'!$B$53,"Planta 2 (obra)",IF(B74&lt;=3*'1_Inputs'!$B$53,"Planta 3 (obra)","Completo (alquilado)")))</f>
        <v/>
      </c>
      <c r="D74" s="7">
        <f>IF(B74&lt;=3*'1_Inputs'!$B$53,(('4_Comparativa'!$D$30-'4_Comparativa'!$D$29)/3)/'1_Inputs'!$B$53,0)+IF(B74=1,'4_Comparativa'!$D$29,0)</f>
        <v/>
      </c>
      <c r="E74" s="7">
        <f>'4_Comparativa'!$D$16</f>
        <v/>
      </c>
      <c r="F74" s="7">
        <f>'2_Rehipoteca'!$B$16</f>
        <v/>
      </c>
      <c r="G74" s="7">
        <f>('4_Comparativa'!$D$35*2)*(IF(B74&gt;'1_Inputs'!$B$53,1,0)+IF(B74&gt;2*'1_Inputs'!$B$53,1,0)+IF(B74&gt;3*'1_Inputs'!$B$53,1,0))</f>
        <v/>
      </c>
      <c r="H74" s="7">
        <f>G74-D74-E74-F74</f>
        <v/>
      </c>
      <c r="I74" s="7">
        <f>I73+H74</f>
        <v/>
      </c>
    </row>
    <row r="75">
      <c r="B75" t="n">
        <v>27</v>
      </c>
      <c r="C75">
        <f>IF(B75&lt;='1_Inputs'!$B$53,"Planta 1 (obra)",IF(B75&lt;=2*'1_Inputs'!$B$53,"Planta 2 (obra)",IF(B75&lt;=3*'1_Inputs'!$B$53,"Planta 3 (obra)","Completo (alquilado)")))</f>
        <v/>
      </c>
      <c r="D75" s="7">
        <f>IF(B75&lt;=3*'1_Inputs'!$B$53,(('4_Comparativa'!$D$30-'4_Comparativa'!$D$29)/3)/'1_Inputs'!$B$53,0)+IF(B75=1,'4_Comparativa'!$D$29,0)</f>
        <v/>
      </c>
      <c r="E75" s="7">
        <f>'4_Comparativa'!$D$16</f>
        <v/>
      </c>
      <c r="F75" s="7">
        <f>'2_Rehipoteca'!$B$16</f>
        <v/>
      </c>
      <c r="G75" s="7">
        <f>('4_Comparativa'!$D$35*2)*(IF(B75&gt;'1_Inputs'!$B$53,1,0)+IF(B75&gt;2*'1_Inputs'!$B$53,1,0)+IF(B75&gt;3*'1_Inputs'!$B$53,1,0))</f>
        <v/>
      </c>
      <c r="H75" s="7">
        <f>G75-D75-E75-F75</f>
        <v/>
      </c>
      <c r="I75" s="7">
        <f>I74+H75</f>
        <v/>
      </c>
    </row>
    <row r="76">
      <c r="B76" t="n">
        <v>28</v>
      </c>
      <c r="C76">
        <f>IF(B76&lt;='1_Inputs'!$B$53,"Planta 1 (obra)",IF(B76&lt;=2*'1_Inputs'!$B$53,"Planta 2 (obra)",IF(B76&lt;=3*'1_Inputs'!$B$53,"Planta 3 (obra)","Completo (alquilado)")))</f>
        <v/>
      </c>
      <c r="D76" s="7">
        <f>IF(B76&lt;=3*'1_Inputs'!$B$53,(('4_Comparativa'!$D$30-'4_Comparativa'!$D$29)/3)/'1_Inputs'!$B$53,0)+IF(B76=1,'4_Comparativa'!$D$29,0)</f>
        <v/>
      </c>
      <c r="E76" s="7">
        <f>'4_Comparativa'!$D$16</f>
        <v/>
      </c>
      <c r="F76" s="7">
        <f>'2_Rehipoteca'!$B$16</f>
        <v/>
      </c>
      <c r="G76" s="7">
        <f>('4_Comparativa'!$D$35*2)*(IF(B76&gt;'1_Inputs'!$B$53,1,0)+IF(B76&gt;2*'1_Inputs'!$B$53,1,0)+IF(B76&gt;3*'1_Inputs'!$B$53,1,0))</f>
        <v/>
      </c>
      <c r="H76" s="7">
        <f>G76-D76-E76-F76</f>
        <v/>
      </c>
      <c r="I76" s="7">
        <f>I75+H76</f>
        <v/>
      </c>
    </row>
    <row r="77">
      <c r="B77" t="n">
        <v>29</v>
      </c>
      <c r="C77">
        <f>IF(B77&lt;='1_Inputs'!$B$53,"Planta 1 (obra)",IF(B77&lt;=2*'1_Inputs'!$B$53,"Planta 2 (obra)",IF(B77&lt;=3*'1_Inputs'!$B$53,"Planta 3 (obra)","Completo (alquilado)")))</f>
        <v/>
      </c>
      <c r="D77" s="7">
        <f>IF(B77&lt;=3*'1_Inputs'!$B$53,(('4_Comparativa'!$D$30-'4_Comparativa'!$D$29)/3)/'1_Inputs'!$B$53,0)+IF(B77=1,'4_Comparativa'!$D$29,0)</f>
        <v/>
      </c>
      <c r="E77" s="7">
        <f>'4_Comparativa'!$D$16</f>
        <v/>
      </c>
      <c r="F77" s="7">
        <f>'2_Rehipoteca'!$B$16</f>
        <v/>
      </c>
      <c r="G77" s="7">
        <f>('4_Comparativa'!$D$35*2)*(IF(B77&gt;'1_Inputs'!$B$53,1,0)+IF(B77&gt;2*'1_Inputs'!$B$53,1,0)+IF(B77&gt;3*'1_Inputs'!$B$53,1,0))</f>
        <v/>
      </c>
      <c r="H77" s="7">
        <f>G77-D77-E77-F77</f>
        <v/>
      </c>
      <c r="I77" s="7">
        <f>I76+H77</f>
        <v/>
      </c>
    </row>
    <row r="78">
      <c r="B78" t="n">
        <v>30</v>
      </c>
      <c r="C78">
        <f>IF(B78&lt;='1_Inputs'!$B$53,"Planta 1 (obra)",IF(B78&lt;=2*'1_Inputs'!$B$53,"Planta 2 (obra)",IF(B78&lt;=3*'1_Inputs'!$B$53,"Planta 3 (obra)","Completo (alquilado)")))</f>
        <v/>
      </c>
      <c r="D78" s="7">
        <f>IF(B78&lt;=3*'1_Inputs'!$B$53,(('4_Comparativa'!$D$30-'4_Comparativa'!$D$29)/3)/'1_Inputs'!$B$53,0)+IF(B78=1,'4_Comparativa'!$D$29,0)</f>
        <v/>
      </c>
      <c r="E78" s="7">
        <f>'4_Comparativa'!$D$16</f>
        <v/>
      </c>
      <c r="F78" s="7">
        <f>'2_Rehipoteca'!$B$16</f>
        <v/>
      </c>
      <c r="G78" s="7">
        <f>('4_Comparativa'!$D$35*2)*(IF(B78&gt;'1_Inputs'!$B$53,1,0)+IF(B78&gt;2*'1_Inputs'!$B$53,1,0)+IF(B78&gt;3*'1_Inputs'!$B$53,1,0))</f>
        <v/>
      </c>
      <c r="H78" s="7">
        <f>G78-D78-E78-F78</f>
        <v/>
      </c>
      <c r="I78" s="7">
        <f>I77+H78</f>
        <v/>
      </c>
    </row>
    <row r="79">
      <c r="B79" t="n">
        <v>31</v>
      </c>
      <c r="C79">
        <f>IF(B79&lt;='1_Inputs'!$B$53,"Planta 1 (obra)",IF(B79&lt;=2*'1_Inputs'!$B$53,"Planta 2 (obra)",IF(B79&lt;=3*'1_Inputs'!$B$53,"Planta 3 (obra)","Completo (alquilado)")))</f>
        <v/>
      </c>
      <c r="D79" s="7">
        <f>IF(B79&lt;=3*'1_Inputs'!$B$53,(('4_Comparativa'!$D$30-'4_Comparativa'!$D$29)/3)/'1_Inputs'!$B$53,0)+IF(B79=1,'4_Comparativa'!$D$29,0)</f>
        <v/>
      </c>
      <c r="E79" s="7">
        <f>'4_Comparativa'!$D$16</f>
        <v/>
      </c>
      <c r="F79" s="7">
        <f>'2_Rehipoteca'!$B$16</f>
        <v/>
      </c>
      <c r="G79" s="7">
        <f>('4_Comparativa'!$D$35*2)*(IF(B79&gt;'1_Inputs'!$B$53,1,0)+IF(B79&gt;2*'1_Inputs'!$B$53,1,0)+IF(B79&gt;3*'1_Inputs'!$B$53,1,0))</f>
        <v/>
      </c>
      <c r="H79" s="7">
        <f>G79-D79-E79-F79</f>
        <v/>
      </c>
      <c r="I79" s="7">
        <f>I78+H79</f>
        <v/>
      </c>
    </row>
    <row r="80">
      <c r="B80" t="n">
        <v>32</v>
      </c>
      <c r="C80">
        <f>IF(B80&lt;='1_Inputs'!$B$53,"Planta 1 (obra)",IF(B80&lt;=2*'1_Inputs'!$B$53,"Planta 2 (obra)",IF(B80&lt;=3*'1_Inputs'!$B$53,"Planta 3 (obra)","Completo (alquilado)")))</f>
        <v/>
      </c>
      <c r="D80" s="7">
        <f>IF(B80&lt;=3*'1_Inputs'!$B$53,(('4_Comparativa'!$D$30-'4_Comparativa'!$D$29)/3)/'1_Inputs'!$B$53,0)+IF(B80=1,'4_Comparativa'!$D$29,0)</f>
        <v/>
      </c>
      <c r="E80" s="7">
        <f>'4_Comparativa'!$D$16</f>
        <v/>
      </c>
      <c r="F80" s="7">
        <f>'2_Rehipoteca'!$B$16</f>
        <v/>
      </c>
      <c r="G80" s="7">
        <f>('4_Comparativa'!$D$35*2)*(IF(B80&gt;'1_Inputs'!$B$53,1,0)+IF(B80&gt;2*'1_Inputs'!$B$53,1,0)+IF(B80&gt;3*'1_Inputs'!$B$53,1,0))</f>
        <v/>
      </c>
      <c r="H80" s="7">
        <f>G80-D80-E80-F80</f>
        <v/>
      </c>
      <c r="I80" s="7">
        <f>I79+H80</f>
        <v/>
      </c>
    </row>
    <row r="81">
      <c r="B81" t="n">
        <v>33</v>
      </c>
      <c r="C81">
        <f>IF(B81&lt;='1_Inputs'!$B$53,"Planta 1 (obra)",IF(B81&lt;=2*'1_Inputs'!$B$53,"Planta 2 (obra)",IF(B81&lt;=3*'1_Inputs'!$B$53,"Planta 3 (obra)","Completo (alquilado)")))</f>
        <v/>
      </c>
      <c r="D81" s="7">
        <f>IF(B81&lt;=3*'1_Inputs'!$B$53,(('4_Comparativa'!$D$30-'4_Comparativa'!$D$29)/3)/'1_Inputs'!$B$53,0)+IF(B81=1,'4_Comparativa'!$D$29,0)</f>
        <v/>
      </c>
      <c r="E81" s="7">
        <f>'4_Comparativa'!$D$16</f>
        <v/>
      </c>
      <c r="F81" s="7">
        <f>'2_Rehipoteca'!$B$16</f>
        <v/>
      </c>
      <c r="G81" s="7">
        <f>('4_Comparativa'!$D$35*2)*(IF(B81&gt;'1_Inputs'!$B$53,1,0)+IF(B81&gt;2*'1_Inputs'!$B$53,1,0)+IF(B81&gt;3*'1_Inputs'!$B$53,1,0))</f>
        <v/>
      </c>
      <c r="H81" s="7">
        <f>G81-D81-E81-F81</f>
        <v/>
      </c>
      <c r="I81" s="7">
        <f>I80+H81</f>
        <v/>
      </c>
    </row>
    <row r="82">
      <c r="B82" t="n">
        <v>34</v>
      </c>
      <c r="C82">
        <f>IF(B82&lt;='1_Inputs'!$B$53,"Planta 1 (obra)",IF(B82&lt;=2*'1_Inputs'!$B$53,"Planta 2 (obra)",IF(B82&lt;=3*'1_Inputs'!$B$53,"Planta 3 (obra)","Completo (alquilado)")))</f>
        <v/>
      </c>
      <c r="D82" s="7">
        <f>IF(B82&lt;=3*'1_Inputs'!$B$53,(('4_Comparativa'!$D$30-'4_Comparativa'!$D$29)/3)/'1_Inputs'!$B$53,0)+IF(B82=1,'4_Comparativa'!$D$29,0)</f>
        <v/>
      </c>
      <c r="E82" s="7">
        <f>'4_Comparativa'!$D$16</f>
        <v/>
      </c>
      <c r="F82" s="7">
        <f>'2_Rehipoteca'!$B$16</f>
        <v/>
      </c>
      <c r="G82" s="7">
        <f>('4_Comparativa'!$D$35*2)*(IF(B82&gt;'1_Inputs'!$B$53,1,0)+IF(B82&gt;2*'1_Inputs'!$B$53,1,0)+IF(B82&gt;3*'1_Inputs'!$B$53,1,0))</f>
        <v/>
      </c>
      <c r="H82" s="7">
        <f>G82-D82-E82-F82</f>
        <v/>
      </c>
      <c r="I82" s="7">
        <f>I81+H82</f>
        <v/>
      </c>
    </row>
    <row r="83">
      <c r="B83" t="n">
        <v>35</v>
      </c>
      <c r="C83">
        <f>IF(B83&lt;='1_Inputs'!$B$53,"Planta 1 (obra)",IF(B83&lt;=2*'1_Inputs'!$B$53,"Planta 2 (obra)",IF(B83&lt;=3*'1_Inputs'!$B$53,"Planta 3 (obra)","Completo (alquilado)")))</f>
        <v/>
      </c>
      <c r="D83" s="7">
        <f>IF(B83&lt;=3*'1_Inputs'!$B$53,(('4_Comparativa'!$D$30-'4_Comparativa'!$D$29)/3)/'1_Inputs'!$B$53,0)+IF(B83=1,'4_Comparativa'!$D$29,0)</f>
        <v/>
      </c>
      <c r="E83" s="7">
        <f>'4_Comparativa'!$D$16</f>
        <v/>
      </c>
      <c r="F83" s="7">
        <f>'2_Rehipoteca'!$B$16</f>
        <v/>
      </c>
      <c r="G83" s="7">
        <f>('4_Comparativa'!$D$35*2)*(IF(B83&gt;'1_Inputs'!$B$53,1,0)+IF(B83&gt;2*'1_Inputs'!$B$53,1,0)+IF(B83&gt;3*'1_Inputs'!$B$53,1,0))</f>
        <v/>
      </c>
      <c r="H83" s="7">
        <f>G83-D83-E83-F83</f>
        <v/>
      </c>
      <c r="I83" s="7">
        <f>I82+H83</f>
        <v/>
      </c>
    </row>
    <row r="84">
      <c r="B84" t="n">
        <v>36</v>
      </c>
      <c r="C84">
        <f>IF(B84&lt;='1_Inputs'!$B$53,"Planta 1 (obra)",IF(B84&lt;=2*'1_Inputs'!$B$53,"Planta 2 (obra)",IF(B84&lt;=3*'1_Inputs'!$B$53,"Planta 3 (obra)","Completo (alquilado)")))</f>
        <v/>
      </c>
      <c r="D84" s="7">
        <f>IF(B84&lt;=3*'1_Inputs'!$B$53,(('4_Comparativa'!$D$30-'4_Comparativa'!$D$29)/3)/'1_Inputs'!$B$53,0)+IF(B84=1,'4_Comparativa'!$D$29,0)</f>
        <v/>
      </c>
      <c r="E84" s="7">
        <f>'4_Comparativa'!$D$16</f>
        <v/>
      </c>
      <c r="F84" s="7">
        <f>'2_Rehipoteca'!$B$16</f>
        <v/>
      </c>
      <c r="G84" s="7">
        <f>('4_Comparativa'!$D$35*2)*(IF(B84&gt;'1_Inputs'!$B$53,1,0)+IF(B84&gt;2*'1_Inputs'!$B$53,1,0)+IF(B84&gt;3*'1_Inputs'!$B$53,1,0))</f>
        <v/>
      </c>
      <c r="H84" s="7">
        <f>G84-D84-E84-F84</f>
        <v/>
      </c>
      <c r="I84" s="7">
        <f>I83+H84</f>
        <v/>
      </c>
    </row>
    <row r="85">
      <c r="B85" s="4" t="inlineStr">
        <is>
          <t>PUNTO DE MÁXIMA TENSIÓN DE CAJA (€)</t>
        </is>
      </c>
      <c r="I85" s="23">
        <f>MIN(I49:I84)</f>
        <v/>
      </c>
    </row>
    <row r="86">
      <c r="B86" t="inlineStr">
        <is>
          <t>Caja final mes 36 (€)</t>
        </is>
      </c>
      <c r="I86" s="7">
        <f>I84</f>
        <v/>
      </c>
    </row>
    <row r="90">
      <c r="B90" s="5" t="inlineStr">
        <is>
          <t>ESCENARIO C — Capital/Costa (350.000€)</t>
        </is>
      </c>
      <c r="C90" s="6" t="n"/>
      <c r="D90" s="6" t="n"/>
      <c r="E90" s="6" t="n"/>
      <c r="F90" s="6" t="n"/>
      <c r="G90" s="6" t="n"/>
      <c r="H90" s="6" t="n"/>
      <c r="I90" s="6" t="n"/>
    </row>
    <row r="91">
      <c r="B91" s="22" t="inlineStr">
        <is>
          <t>Mes</t>
        </is>
      </c>
      <c r="C91" s="22" t="inlineStr">
        <is>
          <t>Planta activa</t>
        </is>
      </c>
      <c r="D91" s="22" t="inlineStr">
        <is>
          <t>Coste reforma mes (€)</t>
        </is>
      </c>
      <c r="E91" s="22" t="inlineStr">
        <is>
          <t>Cuota edificio (€)</t>
        </is>
      </c>
      <c r="F91" s="22" t="inlineStr">
        <is>
          <t>Cuota San Antonio (€)</t>
        </is>
      </c>
      <c r="G91" s="22" t="inlineStr">
        <is>
          <t>Alquiler cobrado (€)</t>
        </is>
      </c>
      <c r="H91" s="22" t="inlineStr">
        <is>
          <t>Flujo neto mes (€)</t>
        </is>
      </c>
      <c r="I91" s="22" t="inlineStr">
        <is>
          <t>Caja acumulada (€)</t>
        </is>
      </c>
    </row>
    <row r="92">
      <c r="B92" t="n">
        <v>1</v>
      </c>
      <c r="C92">
        <f>IF(B92&lt;='1_Inputs'!$B$53,"Planta 1 (obra)",IF(B92&lt;=2*'1_Inputs'!$B$53,"Planta 2 (obra)",IF(B92&lt;=3*'1_Inputs'!$B$53,"Planta 3 (obra)","Completo (alquilado)")))</f>
        <v/>
      </c>
      <c r="D92" s="7">
        <f>IF(B92&lt;=3*'1_Inputs'!$B$53,(('4_Comparativa'!$E$30-'4_Comparativa'!$E$29)/3)/'1_Inputs'!$B$53,0)+IF(B92=1,'4_Comparativa'!$E$29,0)</f>
        <v/>
      </c>
      <c r="E92" s="7">
        <f>'4_Comparativa'!$E$16</f>
        <v/>
      </c>
      <c r="F92" s="7">
        <f>'2_Rehipoteca'!$B$16</f>
        <v/>
      </c>
      <c r="G92" s="7">
        <f>('4_Comparativa'!$E$35*2)*(IF(B92&gt;'1_Inputs'!$B$53,1,0)+IF(B92&gt;2*'1_Inputs'!$B$53,1,0)+IF(B92&gt;3*'1_Inputs'!$B$53,1,0))</f>
        <v/>
      </c>
      <c r="H92" s="7">
        <f>G92-D92-E92-F92</f>
        <v/>
      </c>
      <c r="I92" s="7">
        <f>'4_Comparativa'!$E$32+H92</f>
        <v/>
      </c>
    </row>
    <row r="93">
      <c r="B93" t="n">
        <v>2</v>
      </c>
      <c r="C93">
        <f>IF(B93&lt;='1_Inputs'!$B$53,"Planta 1 (obra)",IF(B93&lt;=2*'1_Inputs'!$B$53,"Planta 2 (obra)",IF(B93&lt;=3*'1_Inputs'!$B$53,"Planta 3 (obra)","Completo (alquilado)")))</f>
        <v/>
      </c>
      <c r="D93" s="7">
        <f>IF(B93&lt;=3*'1_Inputs'!$B$53,(('4_Comparativa'!$E$30-'4_Comparativa'!$E$29)/3)/'1_Inputs'!$B$53,0)+IF(B93=1,'4_Comparativa'!$E$29,0)</f>
        <v/>
      </c>
      <c r="E93" s="7">
        <f>'4_Comparativa'!$E$16</f>
        <v/>
      </c>
      <c r="F93" s="7">
        <f>'2_Rehipoteca'!$B$16</f>
        <v/>
      </c>
      <c r="G93" s="7">
        <f>('4_Comparativa'!$E$35*2)*(IF(B93&gt;'1_Inputs'!$B$53,1,0)+IF(B93&gt;2*'1_Inputs'!$B$53,1,0)+IF(B93&gt;3*'1_Inputs'!$B$53,1,0))</f>
        <v/>
      </c>
      <c r="H93" s="7">
        <f>G93-D93-E93-F93</f>
        <v/>
      </c>
      <c r="I93" s="7">
        <f>I92+H93</f>
        <v/>
      </c>
    </row>
    <row r="94">
      <c r="B94" t="n">
        <v>3</v>
      </c>
      <c r="C94">
        <f>IF(B94&lt;='1_Inputs'!$B$53,"Planta 1 (obra)",IF(B94&lt;=2*'1_Inputs'!$B$53,"Planta 2 (obra)",IF(B94&lt;=3*'1_Inputs'!$B$53,"Planta 3 (obra)","Completo (alquilado)")))</f>
        <v/>
      </c>
      <c r="D94" s="7">
        <f>IF(B94&lt;=3*'1_Inputs'!$B$53,(('4_Comparativa'!$E$30-'4_Comparativa'!$E$29)/3)/'1_Inputs'!$B$53,0)+IF(B94=1,'4_Comparativa'!$E$29,0)</f>
        <v/>
      </c>
      <c r="E94" s="7">
        <f>'4_Comparativa'!$E$16</f>
        <v/>
      </c>
      <c r="F94" s="7">
        <f>'2_Rehipoteca'!$B$16</f>
        <v/>
      </c>
      <c r="G94" s="7">
        <f>('4_Comparativa'!$E$35*2)*(IF(B94&gt;'1_Inputs'!$B$53,1,0)+IF(B94&gt;2*'1_Inputs'!$B$53,1,0)+IF(B94&gt;3*'1_Inputs'!$B$53,1,0))</f>
        <v/>
      </c>
      <c r="H94" s="7">
        <f>G94-D94-E94-F94</f>
        <v/>
      </c>
      <c r="I94" s="7">
        <f>I93+H94</f>
        <v/>
      </c>
    </row>
    <row r="95">
      <c r="B95" t="n">
        <v>4</v>
      </c>
      <c r="C95">
        <f>IF(B95&lt;='1_Inputs'!$B$53,"Planta 1 (obra)",IF(B95&lt;=2*'1_Inputs'!$B$53,"Planta 2 (obra)",IF(B95&lt;=3*'1_Inputs'!$B$53,"Planta 3 (obra)","Completo (alquilado)")))</f>
        <v/>
      </c>
      <c r="D95" s="7">
        <f>IF(B95&lt;=3*'1_Inputs'!$B$53,(('4_Comparativa'!$E$30-'4_Comparativa'!$E$29)/3)/'1_Inputs'!$B$53,0)+IF(B95=1,'4_Comparativa'!$E$29,0)</f>
        <v/>
      </c>
      <c r="E95" s="7">
        <f>'4_Comparativa'!$E$16</f>
        <v/>
      </c>
      <c r="F95" s="7">
        <f>'2_Rehipoteca'!$B$16</f>
        <v/>
      </c>
      <c r="G95" s="7">
        <f>('4_Comparativa'!$E$35*2)*(IF(B95&gt;'1_Inputs'!$B$53,1,0)+IF(B95&gt;2*'1_Inputs'!$B$53,1,0)+IF(B95&gt;3*'1_Inputs'!$B$53,1,0))</f>
        <v/>
      </c>
      <c r="H95" s="7">
        <f>G95-D95-E95-F95</f>
        <v/>
      </c>
      <c r="I95" s="7">
        <f>I94+H95</f>
        <v/>
      </c>
    </row>
    <row r="96">
      <c r="B96" t="n">
        <v>5</v>
      </c>
      <c r="C96">
        <f>IF(B96&lt;='1_Inputs'!$B$53,"Planta 1 (obra)",IF(B96&lt;=2*'1_Inputs'!$B$53,"Planta 2 (obra)",IF(B96&lt;=3*'1_Inputs'!$B$53,"Planta 3 (obra)","Completo (alquilado)")))</f>
        <v/>
      </c>
      <c r="D96" s="7">
        <f>IF(B96&lt;=3*'1_Inputs'!$B$53,(('4_Comparativa'!$E$30-'4_Comparativa'!$E$29)/3)/'1_Inputs'!$B$53,0)+IF(B96=1,'4_Comparativa'!$E$29,0)</f>
        <v/>
      </c>
      <c r="E96" s="7">
        <f>'4_Comparativa'!$E$16</f>
        <v/>
      </c>
      <c r="F96" s="7">
        <f>'2_Rehipoteca'!$B$16</f>
        <v/>
      </c>
      <c r="G96" s="7">
        <f>('4_Comparativa'!$E$35*2)*(IF(B96&gt;'1_Inputs'!$B$53,1,0)+IF(B96&gt;2*'1_Inputs'!$B$53,1,0)+IF(B96&gt;3*'1_Inputs'!$B$53,1,0))</f>
        <v/>
      </c>
      <c r="H96" s="7">
        <f>G96-D96-E96-F96</f>
        <v/>
      </c>
      <c r="I96" s="7">
        <f>I95+H96</f>
        <v/>
      </c>
    </row>
    <row r="97">
      <c r="B97" t="n">
        <v>6</v>
      </c>
      <c r="C97">
        <f>IF(B97&lt;='1_Inputs'!$B$53,"Planta 1 (obra)",IF(B97&lt;=2*'1_Inputs'!$B$53,"Planta 2 (obra)",IF(B97&lt;=3*'1_Inputs'!$B$53,"Planta 3 (obra)","Completo (alquilado)")))</f>
        <v/>
      </c>
      <c r="D97" s="7">
        <f>IF(B97&lt;=3*'1_Inputs'!$B$53,(('4_Comparativa'!$E$30-'4_Comparativa'!$E$29)/3)/'1_Inputs'!$B$53,0)+IF(B97=1,'4_Comparativa'!$E$29,0)</f>
        <v/>
      </c>
      <c r="E97" s="7">
        <f>'4_Comparativa'!$E$16</f>
        <v/>
      </c>
      <c r="F97" s="7">
        <f>'2_Rehipoteca'!$B$16</f>
        <v/>
      </c>
      <c r="G97" s="7">
        <f>('4_Comparativa'!$E$35*2)*(IF(B97&gt;'1_Inputs'!$B$53,1,0)+IF(B97&gt;2*'1_Inputs'!$B$53,1,0)+IF(B97&gt;3*'1_Inputs'!$B$53,1,0))</f>
        <v/>
      </c>
      <c r="H97" s="7">
        <f>G97-D97-E97-F97</f>
        <v/>
      </c>
      <c r="I97" s="7">
        <f>I96+H97</f>
        <v/>
      </c>
    </row>
    <row r="98">
      <c r="B98" t="n">
        <v>7</v>
      </c>
      <c r="C98">
        <f>IF(B98&lt;='1_Inputs'!$B$53,"Planta 1 (obra)",IF(B98&lt;=2*'1_Inputs'!$B$53,"Planta 2 (obra)",IF(B98&lt;=3*'1_Inputs'!$B$53,"Planta 3 (obra)","Completo (alquilado)")))</f>
        <v/>
      </c>
      <c r="D98" s="7">
        <f>IF(B98&lt;=3*'1_Inputs'!$B$53,(('4_Comparativa'!$E$30-'4_Comparativa'!$E$29)/3)/'1_Inputs'!$B$53,0)+IF(B98=1,'4_Comparativa'!$E$29,0)</f>
        <v/>
      </c>
      <c r="E98" s="7">
        <f>'4_Comparativa'!$E$16</f>
        <v/>
      </c>
      <c r="F98" s="7">
        <f>'2_Rehipoteca'!$B$16</f>
        <v/>
      </c>
      <c r="G98" s="7">
        <f>('4_Comparativa'!$E$35*2)*(IF(B98&gt;'1_Inputs'!$B$53,1,0)+IF(B98&gt;2*'1_Inputs'!$B$53,1,0)+IF(B98&gt;3*'1_Inputs'!$B$53,1,0))</f>
        <v/>
      </c>
      <c r="H98" s="7">
        <f>G98-D98-E98-F98</f>
        <v/>
      </c>
      <c r="I98" s="7">
        <f>I97+H98</f>
        <v/>
      </c>
    </row>
    <row r="99">
      <c r="B99" t="n">
        <v>8</v>
      </c>
      <c r="C99">
        <f>IF(B99&lt;='1_Inputs'!$B$53,"Planta 1 (obra)",IF(B99&lt;=2*'1_Inputs'!$B$53,"Planta 2 (obra)",IF(B99&lt;=3*'1_Inputs'!$B$53,"Planta 3 (obra)","Completo (alquilado)")))</f>
        <v/>
      </c>
      <c r="D99" s="7">
        <f>IF(B99&lt;=3*'1_Inputs'!$B$53,(('4_Comparativa'!$E$30-'4_Comparativa'!$E$29)/3)/'1_Inputs'!$B$53,0)+IF(B99=1,'4_Comparativa'!$E$29,0)</f>
        <v/>
      </c>
      <c r="E99" s="7">
        <f>'4_Comparativa'!$E$16</f>
        <v/>
      </c>
      <c r="F99" s="7">
        <f>'2_Rehipoteca'!$B$16</f>
        <v/>
      </c>
      <c r="G99" s="7">
        <f>('4_Comparativa'!$E$35*2)*(IF(B99&gt;'1_Inputs'!$B$53,1,0)+IF(B99&gt;2*'1_Inputs'!$B$53,1,0)+IF(B99&gt;3*'1_Inputs'!$B$53,1,0))</f>
        <v/>
      </c>
      <c r="H99" s="7">
        <f>G99-D99-E99-F99</f>
        <v/>
      </c>
      <c r="I99" s="7">
        <f>I98+H99</f>
        <v/>
      </c>
    </row>
    <row r="100">
      <c r="B100" t="n">
        <v>9</v>
      </c>
      <c r="C100">
        <f>IF(B100&lt;='1_Inputs'!$B$53,"Planta 1 (obra)",IF(B100&lt;=2*'1_Inputs'!$B$53,"Planta 2 (obra)",IF(B100&lt;=3*'1_Inputs'!$B$53,"Planta 3 (obra)","Completo (alquilado)")))</f>
        <v/>
      </c>
      <c r="D100" s="7">
        <f>IF(B100&lt;=3*'1_Inputs'!$B$53,(('4_Comparativa'!$E$30-'4_Comparativa'!$E$29)/3)/'1_Inputs'!$B$53,0)+IF(B100=1,'4_Comparativa'!$E$29,0)</f>
        <v/>
      </c>
      <c r="E100" s="7">
        <f>'4_Comparativa'!$E$16</f>
        <v/>
      </c>
      <c r="F100" s="7">
        <f>'2_Rehipoteca'!$B$16</f>
        <v/>
      </c>
      <c r="G100" s="7">
        <f>('4_Comparativa'!$E$35*2)*(IF(B100&gt;'1_Inputs'!$B$53,1,0)+IF(B100&gt;2*'1_Inputs'!$B$53,1,0)+IF(B100&gt;3*'1_Inputs'!$B$53,1,0))</f>
        <v/>
      </c>
      <c r="H100" s="7">
        <f>G100-D100-E100-F100</f>
        <v/>
      </c>
      <c r="I100" s="7">
        <f>I99+H100</f>
        <v/>
      </c>
    </row>
    <row r="101">
      <c r="B101" t="n">
        <v>10</v>
      </c>
      <c r="C101">
        <f>IF(B101&lt;='1_Inputs'!$B$53,"Planta 1 (obra)",IF(B101&lt;=2*'1_Inputs'!$B$53,"Planta 2 (obra)",IF(B101&lt;=3*'1_Inputs'!$B$53,"Planta 3 (obra)","Completo (alquilado)")))</f>
        <v/>
      </c>
      <c r="D101" s="7">
        <f>IF(B101&lt;=3*'1_Inputs'!$B$53,(('4_Comparativa'!$E$30-'4_Comparativa'!$E$29)/3)/'1_Inputs'!$B$53,0)+IF(B101=1,'4_Comparativa'!$E$29,0)</f>
        <v/>
      </c>
      <c r="E101" s="7">
        <f>'4_Comparativa'!$E$16</f>
        <v/>
      </c>
      <c r="F101" s="7">
        <f>'2_Rehipoteca'!$B$16</f>
        <v/>
      </c>
      <c r="G101" s="7">
        <f>('4_Comparativa'!$E$35*2)*(IF(B101&gt;'1_Inputs'!$B$53,1,0)+IF(B101&gt;2*'1_Inputs'!$B$53,1,0)+IF(B101&gt;3*'1_Inputs'!$B$53,1,0))</f>
        <v/>
      </c>
      <c r="H101" s="7">
        <f>G101-D101-E101-F101</f>
        <v/>
      </c>
      <c r="I101" s="7">
        <f>I100+H101</f>
        <v/>
      </c>
    </row>
    <row r="102">
      <c r="B102" t="n">
        <v>11</v>
      </c>
      <c r="C102">
        <f>IF(B102&lt;='1_Inputs'!$B$53,"Planta 1 (obra)",IF(B102&lt;=2*'1_Inputs'!$B$53,"Planta 2 (obra)",IF(B102&lt;=3*'1_Inputs'!$B$53,"Planta 3 (obra)","Completo (alquilado)")))</f>
        <v/>
      </c>
      <c r="D102" s="7">
        <f>IF(B102&lt;=3*'1_Inputs'!$B$53,(('4_Comparativa'!$E$30-'4_Comparativa'!$E$29)/3)/'1_Inputs'!$B$53,0)+IF(B102=1,'4_Comparativa'!$E$29,0)</f>
        <v/>
      </c>
      <c r="E102" s="7">
        <f>'4_Comparativa'!$E$16</f>
        <v/>
      </c>
      <c r="F102" s="7">
        <f>'2_Rehipoteca'!$B$16</f>
        <v/>
      </c>
      <c r="G102" s="7">
        <f>('4_Comparativa'!$E$35*2)*(IF(B102&gt;'1_Inputs'!$B$53,1,0)+IF(B102&gt;2*'1_Inputs'!$B$53,1,0)+IF(B102&gt;3*'1_Inputs'!$B$53,1,0))</f>
        <v/>
      </c>
      <c r="H102" s="7">
        <f>G102-D102-E102-F102</f>
        <v/>
      </c>
      <c r="I102" s="7">
        <f>I101+H102</f>
        <v/>
      </c>
    </row>
    <row r="103">
      <c r="B103" t="n">
        <v>12</v>
      </c>
      <c r="C103">
        <f>IF(B103&lt;='1_Inputs'!$B$53,"Planta 1 (obra)",IF(B103&lt;=2*'1_Inputs'!$B$53,"Planta 2 (obra)",IF(B103&lt;=3*'1_Inputs'!$B$53,"Planta 3 (obra)","Completo (alquilado)")))</f>
        <v/>
      </c>
      <c r="D103" s="7">
        <f>IF(B103&lt;=3*'1_Inputs'!$B$53,(('4_Comparativa'!$E$30-'4_Comparativa'!$E$29)/3)/'1_Inputs'!$B$53,0)+IF(B103=1,'4_Comparativa'!$E$29,0)</f>
        <v/>
      </c>
      <c r="E103" s="7">
        <f>'4_Comparativa'!$E$16</f>
        <v/>
      </c>
      <c r="F103" s="7">
        <f>'2_Rehipoteca'!$B$16</f>
        <v/>
      </c>
      <c r="G103" s="7">
        <f>('4_Comparativa'!$E$35*2)*(IF(B103&gt;'1_Inputs'!$B$53,1,0)+IF(B103&gt;2*'1_Inputs'!$B$53,1,0)+IF(B103&gt;3*'1_Inputs'!$B$53,1,0))</f>
        <v/>
      </c>
      <c r="H103" s="7">
        <f>G103-D103-E103-F103</f>
        <v/>
      </c>
      <c r="I103" s="7">
        <f>I102+H103</f>
        <v/>
      </c>
    </row>
    <row r="104">
      <c r="B104" t="n">
        <v>13</v>
      </c>
      <c r="C104">
        <f>IF(B104&lt;='1_Inputs'!$B$53,"Planta 1 (obra)",IF(B104&lt;=2*'1_Inputs'!$B$53,"Planta 2 (obra)",IF(B104&lt;=3*'1_Inputs'!$B$53,"Planta 3 (obra)","Completo (alquilado)")))</f>
        <v/>
      </c>
      <c r="D104" s="7">
        <f>IF(B104&lt;=3*'1_Inputs'!$B$53,(('4_Comparativa'!$E$30-'4_Comparativa'!$E$29)/3)/'1_Inputs'!$B$53,0)+IF(B104=1,'4_Comparativa'!$E$29,0)</f>
        <v/>
      </c>
      <c r="E104" s="7">
        <f>'4_Comparativa'!$E$16</f>
        <v/>
      </c>
      <c r="F104" s="7">
        <f>'2_Rehipoteca'!$B$16</f>
        <v/>
      </c>
      <c r="G104" s="7">
        <f>('4_Comparativa'!$E$35*2)*(IF(B104&gt;'1_Inputs'!$B$53,1,0)+IF(B104&gt;2*'1_Inputs'!$B$53,1,0)+IF(B104&gt;3*'1_Inputs'!$B$53,1,0))</f>
        <v/>
      </c>
      <c r="H104" s="7">
        <f>G104-D104-E104-F104</f>
        <v/>
      </c>
      <c r="I104" s="7">
        <f>I103+H104</f>
        <v/>
      </c>
    </row>
    <row r="105">
      <c r="B105" t="n">
        <v>14</v>
      </c>
      <c r="C105">
        <f>IF(B105&lt;='1_Inputs'!$B$53,"Planta 1 (obra)",IF(B105&lt;=2*'1_Inputs'!$B$53,"Planta 2 (obra)",IF(B105&lt;=3*'1_Inputs'!$B$53,"Planta 3 (obra)","Completo (alquilado)")))</f>
        <v/>
      </c>
      <c r="D105" s="7">
        <f>IF(B105&lt;=3*'1_Inputs'!$B$53,(('4_Comparativa'!$E$30-'4_Comparativa'!$E$29)/3)/'1_Inputs'!$B$53,0)+IF(B105=1,'4_Comparativa'!$E$29,0)</f>
        <v/>
      </c>
      <c r="E105" s="7">
        <f>'4_Comparativa'!$E$16</f>
        <v/>
      </c>
      <c r="F105" s="7">
        <f>'2_Rehipoteca'!$B$16</f>
        <v/>
      </c>
      <c r="G105" s="7">
        <f>('4_Comparativa'!$E$35*2)*(IF(B105&gt;'1_Inputs'!$B$53,1,0)+IF(B105&gt;2*'1_Inputs'!$B$53,1,0)+IF(B105&gt;3*'1_Inputs'!$B$53,1,0))</f>
        <v/>
      </c>
      <c r="H105" s="7">
        <f>G105-D105-E105-F105</f>
        <v/>
      </c>
      <c r="I105" s="7">
        <f>I104+H105</f>
        <v/>
      </c>
    </row>
    <row r="106">
      <c r="B106" t="n">
        <v>15</v>
      </c>
      <c r="C106">
        <f>IF(B106&lt;='1_Inputs'!$B$53,"Planta 1 (obra)",IF(B106&lt;=2*'1_Inputs'!$B$53,"Planta 2 (obra)",IF(B106&lt;=3*'1_Inputs'!$B$53,"Planta 3 (obra)","Completo (alquilado)")))</f>
        <v/>
      </c>
      <c r="D106" s="7">
        <f>IF(B106&lt;=3*'1_Inputs'!$B$53,(('4_Comparativa'!$E$30-'4_Comparativa'!$E$29)/3)/'1_Inputs'!$B$53,0)+IF(B106=1,'4_Comparativa'!$E$29,0)</f>
        <v/>
      </c>
      <c r="E106" s="7">
        <f>'4_Comparativa'!$E$16</f>
        <v/>
      </c>
      <c r="F106" s="7">
        <f>'2_Rehipoteca'!$B$16</f>
        <v/>
      </c>
      <c r="G106" s="7">
        <f>('4_Comparativa'!$E$35*2)*(IF(B106&gt;'1_Inputs'!$B$53,1,0)+IF(B106&gt;2*'1_Inputs'!$B$53,1,0)+IF(B106&gt;3*'1_Inputs'!$B$53,1,0))</f>
        <v/>
      </c>
      <c r="H106" s="7">
        <f>G106-D106-E106-F106</f>
        <v/>
      </c>
      <c r="I106" s="7">
        <f>I105+H106</f>
        <v/>
      </c>
    </row>
    <row r="107">
      <c r="B107" t="n">
        <v>16</v>
      </c>
      <c r="C107">
        <f>IF(B107&lt;='1_Inputs'!$B$53,"Planta 1 (obra)",IF(B107&lt;=2*'1_Inputs'!$B$53,"Planta 2 (obra)",IF(B107&lt;=3*'1_Inputs'!$B$53,"Planta 3 (obra)","Completo (alquilado)")))</f>
        <v/>
      </c>
      <c r="D107" s="7">
        <f>IF(B107&lt;=3*'1_Inputs'!$B$53,(('4_Comparativa'!$E$30-'4_Comparativa'!$E$29)/3)/'1_Inputs'!$B$53,0)+IF(B107=1,'4_Comparativa'!$E$29,0)</f>
        <v/>
      </c>
      <c r="E107" s="7">
        <f>'4_Comparativa'!$E$16</f>
        <v/>
      </c>
      <c r="F107" s="7">
        <f>'2_Rehipoteca'!$B$16</f>
        <v/>
      </c>
      <c r="G107" s="7">
        <f>('4_Comparativa'!$E$35*2)*(IF(B107&gt;'1_Inputs'!$B$53,1,0)+IF(B107&gt;2*'1_Inputs'!$B$53,1,0)+IF(B107&gt;3*'1_Inputs'!$B$53,1,0))</f>
        <v/>
      </c>
      <c r="H107" s="7">
        <f>G107-D107-E107-F107</f>
        <v/>
      </c>
      <c r="I107" s="7">
        <f>I106+H107</f>
        <v/>
      </c>
    </row>
    <row r="108">
      <c r="B108" t="n">
        <v>17</v>
      </c>
      <c r="C108">
        <f>IF(B108&lt;='1_Inputs'!$B$53,"Planta 1 (obra)",IF(B108&lt;=2*'1_Inputs'!$B$53,"Planta 2 (obra)",IF(B108&lt;=3*'1_Inputs'!$B$53,"Planta 3 (obra)","Completo (alquilado)")))</f>
        <v/>
      </c>
      <c r="D108" s="7">
        <f>IF(B108&lt;=3*'1_Inputs'!$B$53,(('4_Comparativa'!$E$30-'4_Comparativa'!$E$29)/3)/'1_Inputs'!$B$53,0)+IF(B108=1,'4_Comparativa'!$E$29,0)</f>
        <v/>
      </c>
      <c r="E108" s="7">
        <f>'4_Comparativa'!$E$16</f>
        <v/>
      </c>
      <c r="F108" s="7">
        <f>'2_Rehipoteca'!$B$16</f>
        <v/>
      </c>
      <c r="G108" s="7">
        <f>('4_Comparativa'!$E$35*2)*(IF(B108&gt;'1_Inputs'!$B$53,1,0)+IF(B108&gt;2*'1_Inputs'!$B$53,1,0)+IF(B108&gt;3*'1_Inputs'!$B$53,1,0))</f>
        <v/>
      </c>
      <c r="H108" s="7">
        <f>G108-D108-E108-F108</f>
        <v/>
      </c>
      <c r="I108" s="7">
        <f>I107+H108</f>
        <v/>
      </c>
    </row>
    <row r="109">
      <c r="B109" t="n">
        <v>18</v>
      </c>
      <c r="C109">
        <f>IF(B109&lt;='1_Inputs'!$B$53,"Planta 1 (obra)",IF(B109&lt;=2*'1_Inputs'!$B$53,"Planta 2 (obra)",IF(B109&lt;=3*'1_Inputs'!$B$53,"Planta 3 (obra)","Completo (alquilado)")))</f>
        <v/>
      </c>
      <c r="D109" s="7">
        <f>IF(B109&lt;=3*'1_Inputs'!$B$53,(('4_Comparativa'!$E$30-'4_Comparativa'!$E$29)/3)/'1_Inputs'!$B$53,0)+IF(B109=1,'4_Comparativa'!$E$29,0)</f>
        <v/>
      </c>
      <c r="E109" s="7">
        <f>'4_Comparativa'!$E$16</f>
        <v/>
      </c>
      <c r="F109" s="7">
        <f>'2_Rehipoteca'!$B$16</f>
        <v/>
      </c>
      <c r="G109" s="7">
        <f>('4_Comparativa'!$E$35*2)*(IF(B109&gt;'1_Inputs'!$B$53,1,0)+IF(B109&gt;2*'1_Inputs'!$B$53,1,0)+IF(B109&gt;3*'1_Inputs'!$B$53,1,0))</f>
        <v/>
      </c>
      <c r="H109" s="7">
        <f>G109-D109-E109-F109</f>
        <v/>
      </c>
      <c r="I109" s="7">
        <f>I108+H109</f>
        <v/>
      </c>
    </row>
    <row r="110">
      <c r="B110" t="n">
        <v>19</v>
      </c>
      <c r="C110">
        <f>IF(B110&lt;='1_Inputs'!$B$53,"Planta 1 (obra)",IF(B110&lt;=2*'1_Inputs'!$B$53,"Planta 2 (obra)",IF(B110&lt;=3*'1_Inputs'!$B$53,"Planta 3 (obra)","Completo (alquilado)")))</f>
        <v/>
      </c>
      <c r="D110" s="7">
        <f>IF(B110&lt;=3*'1_Inputs'!$B$53,(('4_Comparativa'!$E$30-'4_Comparativa'!$E$29)/3)/'1_Inputs'!$B$53,0)+IF(B110=1,'4_Comparativa'!$E$29,0)</f>
        <v/>
      </c>
      <c r="E110" s="7">
        <f>'4_Comparativa'!$E$16</f>
        <v/>
      </c>
      <c r="F110" s="7">
        <f>'2_Rehipoteca'!$B$16</f>
        <v/>
      </c>
      <c r="G110" s="7">
        <f>('4_Comparativa'!$E$35*2)*(IF(B110&gt;'1_Inputs'!$B$53,1,0)+IF(B110&gt;2*'1_Inputs'!$B$53,1,0)+IF(B110&gt;3*'1_Inputs'!$B$53,1,0))</f>
        <v/>
      </c>
      <c r="H110" s="7">
        <f>G110-D110-E110-F110</f>
        <v/>
      </c>
      <c r="I110" s="7">
        <f>I109+H110</f>
        <v/>
      </c>
    </row>
    <row r="111">
      <c r="B111" t="n">
        <v>20</v>
      </c>
      <c r="C111">
        <f>IF(B111&lt;='1_Inputs'!$B$53,"Planta 1 (obra)",IF(B111&lt;=2*'1_Inputs'!$B$53,"Planta 2 (obra)",IF(B111&lt;=3*'1_Inputs'!$B$53,"Planta 3 (obra)","Completo (alquilado)")))</f>
        <v/>
      </c>
      <c r="D111" s="7">
        <f>IF(B111&lt;=3*'1_Inputs'!$B$53,(('4_Comparativa'!$E$30-'4_Comparativa'!$E$29)/3)/'1_Inputs'!$B$53,0)+IF(B111=1,'4_Comparativa'!$E$29,0)</f>
        <v/>
      </c>
      <c r="E111" s="7">
        <f>'4_Comparativa'!$E$16</f>
        <v/>
      </c>
      <c r="F111" s="7">
        <f>'2_Rehipoteca'!$B$16</f>
        <v/>
      </c>
      <c r="G111" s="7">
        <f>('4_Comparativa'!$E$35*2)*(IF(B111&gt;'1_Inputs'!$B$53,1,0)+IF(B111&gt;2*'1_Inputs'!$B$53,1,0)+IF(B111&gt;3*'1_Inputs'!$B$53,1,0))</f>
        <v/>
      </c>
      <c r="H111" s="7">
        <f>G111-D111-E111-F111</f>
        <v/>
      </c>
      <c r="I111" s="7">
        <f>I110+H111</f>
        <v/>
      </c>
    </row>
    <row r="112">
      <c r="B112" t="n">
        <v>21</v>
      </c>
      <c r="C112">
        <f>IF(B112&lt;='1_Inputs'!$B$53,"Planta 1 (obra)",IF(B112&lt;=2*'1_Inputs'!$B$53,"Planta 2 (obra)",IF(B112&lt;=3*'1_Inputs'!$B$53,"Planta 3 (obra)","Completo (alquilado)")))</f>
        <v/>
      </c>
      <c r="D112" s="7">
        <f>IF(B112&lt;=3*'1_Inputs'!$B$53,(('4_Comparativa'!$E$30-'4_Comparativa'!$E$29)/3)/'1_Inputs'!$B$53,0)+IF(B112=1,'4_Comparativa'!$E$29,0)</f>
        <v/>
      </c>
      <c r="E112" s="7">
        <f>'4_Comparativa'!$E$16</f>
        <v/>
      </c>
      <c r="F112" s="7">
        <f>'2_Rehipoteca'!$B$16</f>
        <v/>
      </c>
      <c r="G112" s="7">
        <f>('4_Comparativa'!$E$35*2)*(IF(B112&gt;'1_Inputs'!$B$53,1,0)+IF(B112&gt;2*'1_Inputs'!$B$53,1,0)+IF(B112&gt;3*'1_Inputs'!$B$53,1,0))</f>
        <v/>
      </c>
      <c r="H112" s="7">
        <f>G112-D112-E112-F112</f>
        <v/>
      </c>
      <c r="I112" s="7">
        <f>I111+H112</f>
        <v/>
      </c>
    </row>
    <row r="113">
      <c r="B113" t="n">
        <v>22</v>
      </c>
      <c r="C113">
        <f>IF(B113&lt;='1_Inputs'!$B$53,"Planta 1 (obra)",IF(B113&lt;=2*'1_Inputs'!$B$53,"Planta 2 (obra)",IF(B113&lt;=3*'1_Inputs'!$B$53,"Planta 3 (obra)","Completo (alquilado)")))</f>
        <v/>
      </c>
      <c r="D113" s="7">
        <f>IF(B113&lt;=3*'1_Inputs'!$B$53,(('4_Comparativa'!$E$30-'4_Comparativa'!$E$29)/3)/'1_Inputs'!$B$53,0)+IF(B113=1,'4_Comparativa'!$E$29,0)</f>
        <v/>
      </c>
      <c r="E113" s="7">
        <f>'4_Comparativa'!$E$16</f>
        <v/>
      </c>
      <c r="F113" s="7">
        <f>'2_Rehipoteca'!$B$16</f>
        <v/>
      </c>
      <c r="G113" s="7">
        <f>('4_Comparativa'!$E$35*2)*(IF(B113&gt;'1_Inputs'!$B$53,1,0)+IF(B113&gt;2*'1_Inputs'!$B$53,1,0)+IF(B113&gt;3*'1_Inputs'!$B$53,1,0))</f>
        <v/>
      </c>
      <c r="H113" s="7">
        <f>G113-D113-E113-F113</f>
        <v/>
      </c>
      <c r="I113" s="7">
        <f>I112+H113</f>
        <v/>
      </c>
    </row>
    <row r="114">
      <c r="B114" t="n">
        <v>23</v>
      </c>
      <c r="C114">
        <f>IF(B114&lt;='1_Inputs'!$B$53,"Planta 1 (obra)",IF(B114&lt;=2*'1_Inputs'!$B$53,"Planta 2 (obra)",IF(B114&lt;=3*'1_Inputs'!$B$53,"Planta 3 (obra)","Completo (alquilado)")))</f>
        <v/>
      </c>
      <c r="D114" s="7">
        <f>IF(B114&lt;=3*'1_Inputs'!$B$53,(('4_Comparativa'!$E$30-'4_Comparativa'!$E$29)/3)/'1_Inputs'!$B$53,0)+IF(B114=1,'4_Comparativa'!$E$29,0)</f>
        <v/>
      </c>
      <c r="E114" s="7">
        <f>'4_Comparativa'!$E$16</f>
        <v/>
      </c>
      <c r="F114" s="7">
        <f>'2_Rehipoteca'!$B$16</f>
        <v/>
      </c>
      <c r="G114" s="7">
        <f>('4_Comparativa'!$E$35*2)*(IF(B114&gt;'1_Inputs'!$B$53,1,0)+IF(B114&gt;2*'1_Inputs'!$B$53,1,0)+IF(B114&gt;3*'1_Inputs'!$B$53,1,0))</f>
        <v/>
      </c>
      <c r="H114" s="7">
        <f>G114-D114-E114-F114</f>
        <v/>
      </c>
      <c r="I114" s="7">
        <f>I113+H114</f>
        <v/>
      </c>
    </row>
    <row r="115">
      <c r="B115" t="n">
        <v>24</v>
      </c>
      <c r="C115">
        <f>IF(B115&lt;='1_Inputs'!$B$53,"Planta 1 (obra)",IF(B115&lt;=2*'1_Inputs'!$B$53,"Planta 2 (obra)",IF(B115&lt;=3*'1_Inputs'!$B$53,"Planta 3 (obra)","Completo (alquilado)")))</f>
        <v/>
      </c>
      <c r="D115" s="7">
        <f>IF(B115&lt;=3*'1_Inputs'!$B$53,(('4_Comparativa'!$E$30-'4_Comparativa'!$E$29)/3)/'1_Inputs'!$B$53,0)+IF(B115=1,'4_Comparativa'!$E$29,0)</f>
        <v/>
      </c>
      <c r="E115" s="7">
        <f>'4_Comparativa'!$E$16</f>
        <v/>
      </c>
      <c r="F115" s="7">
        <f>'2_Rehipoteca'!$B$16</f>
        <v/>
      </c>
      <c r="G115" s="7">
        <f>('4_Comparativa'!$E$35*2)*(IF(B115&gt;'1_Inputs'!$B$53,1,0)+IF(B115&gt;2*'1_Inputs'!$B$53,1,0)+IF(B115&gt;3*'1_Inputs'!$B$53,1,0))</f>
        <v/>
      </c>
      <c r="H115" s="7">
        <f>G115-D115-E115-F115</f>
        <v/>
      </c>
      <c r="I115" s="7">
        <f>I114+H115</f>
        <v/>
      </c>
    </row>
    <row r="116">
      <c r="B116" t="n">
        <v>25</v>
      </c>
      <c r="C116">
        <f>IF(B116&lt;='1_Inputs'!$B$53,"Planta 1 (obra)",IF(B116&lt;=2*'1_Inputs'!$B$53,"Planta 2 (obra)",IF(B116&lt;=3*'1_Inputs'!$B$53,"Planta 3 (obra)","Completo (alquilado)")))</f>
        <v/>
      </c>
      <c r="D116" s="7">
        <f>IF(B116&lt;=3*'1_Inputs'!$B$53,(('4_Comparativa'!$E$30-'4_Comparativa'!$E$29)/3)/'1_Inputs'!$B$53,0)+IF(B116=1,'4_Comparativa'!$E$29,0)</f>
        <v/>
      </c>
      <c r="E116" s="7">
        <f>'4_Comparativa'!$E$16</f>
        <v/>
      </c>
      <c r="F116" s="7">
        <f>'2_Rehipoteca'!$B$16</f>
        <v/>
      </c>
      <c r="G116" s="7">
        <f>('4_Comparativa'!$E$35*2)*(IF(B116&gt;'1_Inputs'!$B$53,1,0)+IF(B116&gt;2*'1_Inputs'!$B$53,1,0)+IF(B116&gt;3*'1_Inputs'!$B$53,1,0))</f>
        <v/>
      </c>
      <c r="H116" s="7">
        <f>G116-D116-E116-F116</f>
        <v/>
      </c>
      <c r="I116" s="7">
        <f>I115+H116</f>
        <v/>
      </c>
    </row>
    <row r="117">
      <c r="B117" t="n">
        <v>26</v>
      </c>
      <c r="C117">
        <f>IF(B117&lt;='1_Inputs'!$B$53,"Planta 1 (obra)",IF(B117&lt;=2*'1_Inputs'!$B$53,"Planta 2 (obra)",IF(B117&lt;=3*'1_Inputs'!$B$53,"Planta 3 (obra)","Completo (alquilado)")))</f>
        <v/>
      </c>
      <c r="D117" s="7">
        <f>IF(B117&lt;=3*'1_Inputs'!$B$53,(('4_Comparativa'!$E$30-'4_Comparativa'!$E$29)/3)/'1_Inputs'!$B$53,0)+IF(B117=1,'4_Comparativa'!$E$29,0)</f>
        <v/>
      </c>
      <c r="E117" s="7">
        <f>'4_Comparativa'!$E$16</f>
        <v/>
      </c>
      <c r="F117" s="7">
        <f>'2_Rehipoteca'!$B$16</f>
        <v/>
      </c>
      <c r="G117" s="7">
        <f>('4_Comparativa'!$E$35*2)*(IF(B117&gt;'1_Inputs'!$B$53,1,0)+IF(B117&gt;2*'1_Inputs'!$B$53,1,0)+IF(B117&gt;3*'1_Inputs'!$B$53,1,0))</f>
        <v/>
      </c>
      <c r="H117" s="7">
        <f>G117-D117-E117-F117</f>
        <v/>
      </c>
      <c r="I117" s="7">
        <f>I116+H117</f>
        <v/>
      </c>
    </row>
    <row r="118">
      <c r="B118" t="n">
        <v>27</v>
      </c>
      <c r="C118">
        <f>IF(B118&lt;='1_Inputs'!$B$53,"Planta 1 (obra)",IF(B118&lt;=2*'1_Inputs'!$B$53,"Planta 2 (obra)",IF(B118&lt;=3*'1_Inputs'!$B$53,"Planta 3 (obra)","Completo (alquilado)")))</f>
        <v/>
      </c>
      <c r="D118" s="7">
        <f>IF(B118&lt;=3*'1_Inputs'!$B$53,(('4_Comparativa'!$E$30-'4_Comparativa'!$E$29)/3)/'1_Inputs'!$B$53,0)+IF(B118=1,'4_Comparativa'!$E$29,0)</f>
        <v/>
      </c>
      <c r="E118" s="7">
        <f>'4_Comparativa'!$E$16</f>
        <v/>
      </c>
      <c r="F118" s="7">
        <f>'2_Rehipoteca'!$B$16</f>
        <v/>
      </c>
      <c r="G118" s="7">
        <f>('4_Comparativa'!$E$35*2)*(IF(B118&gt;'1_Inputs'!$B$53,1,0)+IF(B118&gt;2*'1_Inputs'!$B$53,1,0)+IF(B118&gt;3*'1_Inputs'!$B$53,1,0))</f>
        <v/>
      </c>
      <c r="H118" s="7">
        <f>G118-D118-E118-F118</f>
        <v/>
      </c>
      <c r="I118" s="7">
        <f>I117+H118</f>
        <v/>
      </c>
    </row>
    <row r="119">
      <c r="B119" t="n">
        <v>28</v>
      </c>
      <c r="C119">
        <f>IF(B119&lt;='1_Inputs'!$B$53,"Planta 1 (obra)",IF(B119&lt;=2*'1_Inputs'!$B$53,"Planta 2 (obra)",IF(B119&lt;=3*'1_Inputs'!$B$53,"Planta 3 (obra)","Completo (alquilado)")))</f>
        <v/>
      </c>
      <c r="D119" s="7">
        <f>IF(B119&lt;=3*'1_Inputs'!$B$53,(('4_Comparativa'!$E$30-'4_Comparativa'!$E$29)/3)/'1_Inputs'!$B$53,0)+IF(B119=1,'4_Comparativa'!$E$29,0)</f>
        <v/>
      </c>
      <c r="E119" s="7">
        <f>'4_Comparativa'!$E$16</f>
        <v/>
      </c>
      <c r="F119" s="7">
        <f>'2_Rehipoteca'!$B$16</f>
        <v/>
      </c>
      <c r="G119" s="7">
        <f>('4_Comparativa'!$E$35*2)*(IF(B119&gt;'1_Inputs'!$B$53,1,0)+IF(B119&gt;2*'1_Inputs'!$B$53,1,0)+IF(B119&gt;3*'1_Inputs'!$B$53,1,0))</f>
        <v/>
      </c>
      <c r="H119" s="7">
        <f>G119-D119-E119-F119</f>
        <v/>
      </c>
      <c r="I119" s="7">
        <f>I118+H119</f>
        <v/>
      </c>
    </row>
    <row r="120">
      <c r="B120" t="n">
        <v>29</v>
      </c>
      <c r="C120">
        <f>IF(B120&lt;='1_Inputs'!$B$53,"Planta 1 (obra)",IF(B120&lt;=2*'1_Inputs'!$B$53,"Planta 2 (obra)",IF(B120&lt;=3*'1_Inputs'!$B$53,"Planta 3 (obra)","Completo (alquilado)")))</f>
        <v/>
      </c>
      <c r="D120" s="7">
        <f>IF(B120&lt;=3*'1_Inputs'!$B$53,(('4_Comparativa'!$E$30-'4_Comparativa'!$E$29)/3)/'1_Inputs'!$B$53,0)+IF(B120=1,'4_Comparativa'!$E$29,0)</f>
        <v/>
      </c>
      <c r="E120" s="7">
        <f>'4_Comparativa'!$E$16</f>
        <v/>
      </c>
      <c r="F120" s="7">
        <f>'2_Rehipoteca'!$B$16</f>
        <v/>
      </c>
      <c r="G120" s="7">
        <f>('4_Comparativa'!$E$35*2)*(IF(B120&gt;'1_Inputs'!$B$53,1,0)+IF(B120&gt;2*'1_Inputs'!$B$53,1,0)+IF(B120&gt;3*'1_Inputs'!$B$53,1,0))</f>
        <v/>
      </c>
      <c r="H120" s="7">
        <f>G120-D120-E120-F120</f>
        <v/>
      </c>
      <c r="I120" s="7">
        <f>I119+H120</f>
        <v/>
      </c>
    </row>
    <row r="121">
      <c r="B121" t="n">
        <v>30</v>
      </c>
      <c r="C121">
        <f>IF(B121&lt;='1_Inputs'!$B$53,"Planta 1 (obra)",IF(B121&lt;=2*'1_Inputs'!$B$53,"Planta 2 (obra)",IF(B121&lt;=3*'1_Inputs'!$B$53,"Planta 3 (obra)","Completo (alquilado)")))</f>
        <v/>
      </c>
      <c r="D121" s="7">
        <f>IF(B121&lt;=3*'1_Inputs'!$B$53,(('4_Comparativa'!$E$30-'4_Comparativa'!$E$29)/3)/'1_Inputs'!$B$53,0)+IF(B121=1,'4_Comparativa'!$E$29,0)</f>
        <v/>
      </c>
      <c r="E121" s="7">
        <f>'4_Comparativa'!$E$16</f>
        <v/>
      </c>
      <c r="F121" s="7">
        <f>'2_Rehipoteca'!$B$16</f>
        <v/>
      </c>
      <c r="G121" s="7">
        <f>('4_Comparativa'!$E$35*2)*(IF(B121&gt;'1_Inputs'!$B$53,1,0)+IF(B121&gt;2*'1_Inputs'!$B$53,1,0)+IF(B121&gt;3*'1_Inputs'!$B$53,1,0))</f>
        <v/>
      </c>
      <c r="H121" s="7">
        <f>G121-D121-E121-F121</f>
        <v/>
      </c>
      <c r="I121" s="7">
        <f>I120+H121</f>
        <v/>
      </c>
    </row>
    <row r="122">
      <c r="B122" t="n">
        <v>31</v>
      </c>
      <c r="C122">
        <f>IF(B122&lt;='1_Inputs'!$B$53,"Planta 1 (obra)",IF(B122&lt;=2*'1_Inputs'!$B$53,"Planta 2 (obra)",IF(B122&lt;=3*'1_Inputs'!$B$53,"Planta 3 (obra)","Completo (alquilado)")))</f>
        <v/>
      </c>
      <c r="D122" s="7">
        <f>IF(B122&lt;=3*'1_Inputs'!$B$53,(('4_Comparativa'!$E$30-'4_Comparativa'!$E$29)/3)/'1_Inputs'!$B$53,0)+IF(B122=1,'4_Comparativa'!$E$29,0)</f>
        <v/>
      </c>
      <c r="E122" s="7">
        <f>'4_Comparativa'!$E$16</f>
        <v/>
      </c>
      <c r="F122" s="7">
        <f>'2_Rehipoteca'!$B$16</f>
        <v/>
      </c>
      <c r="G122" s="7">
        <f>('4_Comparativa'!$E$35*2)*(IF(B122&gt;'1_Inputs'!$B$53,1,0)+IF(B122&gt;2*'1_Inputs'!$B$53,1,0)+IF(B122&gt;3*'1_Inputs'!$B$53,1,0))</f>
        <v/>
      </c>
      <c r="H122" s="7">
        <f>G122-D122-E122-F122</f>
        <v/>
      </c>
      <c r="I122" s="7">
        <f>I121+H122</f>
        <v/>
      </c>
    </row>
    <row r="123">
      <c r="B123" t="n">
        <v>32</v>
      </c>
      <c r="C123">
        <f>IF(B123&lt;='1_Inputs'!$B$53,"Planta 1 (obra)",IF(B123&lt;=2*'1_Inputs'!$B$53,"Planta 2 (obra)",IF(B123&lt;=3*'1_Inputs'!$B$53,"Planta 3 (obra)","Completo (alquilado)")))</f>
        <v/>
      </c>
      <c r="D123" s="7">
        <f>IF(B123&lt;=3*'1_Inputs'!$B$53,(('4_Comparativa'!$E$30-'4_Comparativa'!$E$29)/3)/'1_Inputs'!$B$53,0)+IF(B123=1,'4_Comparativa'!$E$29,0)</f>
        <v/>
      </c>
      <c r="E123" s="7">
        <f>'4_Comparativa'!$E$16</f>
        <v/>
      </c>
      <c r="F123" s="7">
        <f>'2_Rehipoteca'!$B$16</f>
        <v/>
      </c>
      <c r="G123" s="7">
        <f>('4_Comparativa'!$E$35*2)*(IF(B123&gt;'1_Inputs'!$B$53,1,0)+IF(B123&gt;2*'1_Inputs'!$B$53,1,0)+IF(B123&gt;3*'1_Inputs'!$B$53,1,0))</f>
        <v/>
      </c>
      <c r="H123" s="7">
        <f>G123-D123-E123-F123</f>
        <v/>
      </c>
      <c r="I123" s="7">
        <f>I122+H123</f>
        <v/>
      </c>
    </row>
    <row r="124">
      <c r="B124" t="n">
        <v>33</v>
      </c>
      <c r="C124">
        <f>IF(B124&lt;='1_Inputs'!$B$53,"Planta 1 (obra)",IF(B124&lt;=2*'1_Inputs'!$B$53,"Planta 2 (obra)",IF(B124&lt;=3*'1_Inputs'!$B$53,"Planta 3 (obra)","Completo (alquilado)")))</f>
        <v/>
      </c>
      <c r="D124" s="7">
        <f>IF(B124&lt;=3*'1_Inputs'!$B$53,(('4_Comparativa'!$E$30-'4_Comparativa'!$E$29)/3)/'1_Inputs'!$B$53,0)+IF(B124=1,'4_Comparativa'!$E$29,0)</f>
        <v/>
      </c>
      <c r="E124" s="7">
        <f>'4_Comparativa'!$E$16</f>
        <v/>
      </c>
      <c r="F124" s="7">
        <f>'2_Rehipoteca'!$B$16</f>
        <v/>
      </c>
      <c r="G124" s="7">
        <f>('4_Comparativa'!$E$35*2)*(IF(B124&gt;'1_Inputs'!$B$53,1,0)+IF(B124&gt;2*'1_Inputs'!$B$53,1,0)+IF(B124&gt;3*'1_Inputs'!$B$53,1,0))</f>
        <v/>
      </c>
      <c r="H124" s="7">
        <f>G124-D124-E124-F124</f>
        <v/>
      </c>
      <c r="I124" s="7">
        <f>I123+H124</f>
        <v/>
      </c>
    </row>
    <row r="125">
      <c r="B125" t="n">
        <v>34</v>
      </c>
      <c r="C125">
        <f>IF(B125&lt;='1_Inputs'!$B$53,"Planta 1 (obra)",IF(B125&lt;=2*'1_Inputs'!$B$53,"Planta 2 (obra)",IF(B125&lt;=3*'1_Inputs'!$B$53,"Planta 3 (obra)","Completo (alquilado)")))</f>
        <v/>
      </c>
      <c r="D125" s="7">
        <f>IF(B125&lt;=3*'1_Inputs'!$B$53,(('4_Comparativa'!$E$30-'4_Comparativa'!$E$29)/3)/'1_Inputs'!$B$53,0)+IF(B125=1,'4_Comparativa'!$E$29,0)</f>
        <v/>
      </c>
      <c r="E125" s="7">
        <f>'4_Comparativa'!$E$16</f>
        <v/>
      </c>
      <c r="F125" s="7">
        <f>'2_Rehipoteca'!$B$16</f>
        <v/>
      </c>
      <c r="G125" s="7">
        <f>('4_Comparativa'!$E$35*2)*(IF(B125&gt;'1_Inputs'!$B$53,1,0)+IF(B125&gt;2*'1_Inputs'!$B$53,1,0)+IF(B125&gt;3*'1_Inputs'!$B$53,1,0))</f>
        <v/>
      </c>
      <c r="H125" s="7">
        <f>G125-D125-E125-F125</f>
        <v/>
      </c>
      <c r="I125" s="7">
        <f>I124+H125</f>
        <v/>
      </c>
    </row>
    <row r="126">
      <c r="B126" t="n">
        <v>35</v>
      </c>
      <c r="C126">
        <f>IF(B126&lt;='1_Inputs'!$B$53,"Planta 1 (obra)",IF(B126&lt;=2*'1_Inputs'!$B$53,"Planta 2 (obra)",IF(B126&lt;=3*'1_Inputs'!$B$53,"Planta 3 (obra)","Completo (alquilado)")))</f>
        <v/>
      </c>
      <c r="D126" s="7">
        <f>IF(B126&lt;=3*'1_Inputs'!$B$53,(('4_Comparativa'!$E$30-'4_Comparativa'!$E$29)/3)/'1_Inputs'!$B$53,0)+IF(B126=1,'4_Comparativa'!$E$29,0)</f>
        <v/>
      </c>
      <c r="E126" s="7">
        <f>'4_Comparativa'!$E$16</f>
        <v/>
      </c>
      <c r="F126" s="7">
        <f>'2_Rehipoteca'!$B$16</f>
        <v/>
      </c>
      <c r="G126" s="7">
        <f>('4_Comparativa'!$E$35*2)*(IF(B126&gt;'1_Inputs'!$B$53,1,0)+IF(B126&gt;2*'1_Inputs'!$B$53,1,0)+IF(B126&gt;3*'1_Inputs'!$B$53,1,0))</f>
        <v/>
      </c>
      <c r="H126" s="7">
        <f>G126-D126-E126-F126</f>
        <v/>
      </c>
      <c r="I126" s="7">
        <f>I125+H126</f>
        <v/>
      </c>
    </row>
    <row r="127">
      <c r="B127" t="n">
        <v>36</v>
      </c>
      <c r="C127">
        <f>IF(B127&lt;='1_Inputs'!$B$53,"Planta 1 (obra)",IF(B127&lt;=2*'1_Inputs'!$B$53,"Planta 2 (obra)",IF(B127&lt;=3*'1_Inputs'!$B$53,"Planta 3 (obra)","Completo (alquilado)")))</f>
        <v/>
      </c>
      <c r="D127" s="7">
        <f>IF(B127&lt;=3*'1_Inputs'!$B$53,(('4_Comparativa'!$E$30-'4_Comparativa'!$E$29)/3)/'1_Inputs'!$B$53,0)+IF(B127=1,'4_Comparativa'!$E$29,0)</f>
        <v/>
      </c>
      <c r="E127" s="7">
        <f>'4_Comparativa'!$E$16</f>
        <v/>
      </c>
      <c r="F127" s="7">
        <f>'2_Rehipoteca'!$B$16</f>
        <v/>
      </c>
      <c r="G127" s="7">
        <f>('4_Comparativa'!$E$35*2)*(IF(B127&gt;'1_Inputs'!$B$53,1,0)+IF(B127&gt;2*'1_Inputs'!$B$53,1,0)+IF(B127&gt;3*'1_Inputs'!$B$53,1,0))</f>
        <v/>
      </c>
      <c r="H127" s="7">
        <f>G127-D127-E127-F127</f>
        <v/>
      </c>
      <c r="I127" s="7">
        <f>I126+H127</f>
        <v/>
      </c>
    </row>
    <row r="128">
      <c r="B128" s="4" t="inlineStr">
        <is>
          <t>PUNTO DE MÁXIMA TENSIÓN DE CAJA (€)</t>
        </is>
      </c>
      <c r="I128" s="23">
        <f>MIN(I92:I127)</f>
        <v/>
      </c>
    </row>
    <row r="129">
      <c r="B129" t="inlineStr">
        <is>
          <t>Caja final mes 36 (€)</t>
        </is>
      </c>
      <c r="I129" s="7">
        <f>I127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E14"/>
  <sheetViews>
    <sheetView showGridLines="0" workbookViewId="0">
      <selection activeCell="A1" sqref="A1"/>
    </sheetView>
  </sheetViews>
  <sheetFormatPr baseColWidth="8" defaultRowHeight="15" outlineLevelCol="0"/>
  <cols>
    <col width="2" customWidth="1" min="1" max="1"/>
    <col width="55" customWidth="1" min="2" max="2"/>
    <col width="22" customWidth="1" min="3" max="3"/>
    <col width="22" customWidth="1" min="4" max="4"/>
    <col width="22" customWidth="1" min="5" max="5"/>
  </cols>
  <sheetData>
    <row r="1">
      <c r="B1" s="1" t="inlineStr">
        <is>
          <t>ESTRÉS — retraso licencia 6m + sobrecoste 25% + vacancia extra</t>
        </is>
      </c>
    </row>
    <row r="3">
      <c r="B3" s="5" t="inlineStr">
        <is>
          <t>Concepto</t>
        </is>
      </c>
      <c r="C3" s="5" t="inlineStr">
        <is>
          <t>Escenario A</t>
        </is>
      </c>
      <c r="D3" s="5" t="inlineStr">
        <is>
          <t>Escenario B</t>
        </is>
      </c>
      <c r="E3" s="5" t="inlineStr">
        <is>
          <t>Escenario C</t>
        </is>
      </c>
    </row>
    <row r="4">
      <c r="B4" s="4" t="inlineStr">
        <is>
          <t>Punto de tensión BASE (sin estrés) (€)</t>
        </is>
      </c>
      <c r="C4" s="7">
        <f>'5_Cronograma36m'!$I$42</f>
        <v/>
      </c>
      <c r="D4" s="7">
        <f>'5_Cronograma36m'!$I$85</f>
        <v/>
      </c>
      <c r="E4" s="7">
        <f>'5_Cronograma36m'!$I$128</f>
        <v/>
      </c>
    </row>
    <row r="5">
      <c r="B5" t="inlineStr">
        <is>
          <t>Impacto retraso licencia 6 meses (€)</t>
        </is>
      </c>
      <c r="C5" s="7">
        <f>-6*('4_Comparativa'!C16+'2_Rehipoteca'!$B$16)</f>
        <v/>
      </c>
      <c r="D5" s="7">
        <f>-6*('4_Comparativa'!D16+'2_Rehipoteca'!$B$16)</f>
        <v/>
      </c>
      <c r="E5" s="7">
        <f>-6*('4_Comparativa'!E16+'2_Rehipoteca'!$B$16)</f>
        <v/>
      </c>
    </row>
    <row r="6">
      <c r="B6" t="inlineStr">
        <is>
          <t>Impacto sobrecoste obra 25% (€)</t>
        </is>
      </c>
      <c r="C6" s="7">
        <f>-('4_Comparativa'!C30*0.25)</f>
        <v/>
      </c>
      <c r="D6" s="7">
        <f>-('4_Comparativa'!D30*0.25)</f>
        <v/>
      </c>
      <c r="E6" s="7">
        <f>-('4_Comparativa'!E30*0.25)</f>
        <v/>
      </c>
    </row>
    <row r="7">
      <c r="B7" t="inlineStr">
        <is>
          <t>Impacto vacancia extra 1 mes/unidad/año, 3 años (€)</t>
        </is>
      </c>
      <c r="C7" s="7">
        <f>-('4_Comparativa'!C36*3)</f>
        <v/>
      </c>
      <c r="D7" s="7">
        <f>-('4_Comparativa'!D36*3)</f>
        <v/>
      </c>
      <c r="E7" s="7">
        <f>-('4_Comparativa'!E36*3)</f>
        <v/>
      </c>
    </row>
    <row r="8">
      <c r="B8" s="4" t="inlineStr">
        <is>
          <t>PUNTO DE TENSIÓN COMBINADO (€)</t>
        </is>
      </c>
      <c r="C8" s="14">
        <f>C4+C5+C6+C7</f>
        <v/>
      </c>
      <c r="D8" s="14">
        <f>D4+D5+D6+D7</f>
        <v/>
      </c>
      <c r="E8" s="14">
        <f>E4+E5+E6+E7</f>
        <v/>
      </c>
    </row>
    <row r="9">
      <c r="B9" t="inlineStr">
        <is>
          <t>Colchón disponible (liquidez rehipoteca no usada en fondos propios) (€)</t>
        </is>
      </c>
      <c r="C9" s="7">
        <f>'4_Comparativa'!C56-'4_Comparativa'!C32</f>
        <v/>
      </c>
      <c r="D9" s="7">
        <f>'4_Comparativa'!D56-'4_Comparativa'!D32</f>
        <v/>
      </c>
      <c r="E9" s="7">
        <f>'4_Comparativa'!E56-'4_Comparativa'!E32</f>
        <v/>
      </c>
    </row>
    <row r="10">
      <c r="B10" s="4" t="inlineStr">
        <is>
          <t>¿SOBREVIVE EL ESTRÉS COMBINADO?</t>
        </is>
      </c>
      <c r="C10">
        <f>IF(C8+C9&gt;=0,"SÍ","NO — faltan "&amp;TEXT(-(C8+C9),"#,##0")&amp;"€")</f>
        <v/>
      </c>
      <c r="D10">
        <f>IF(D8+D9&gt;=0,"SÍ","NO — faltan "&amp;TEXT(-(D8+D9),"#,##0")&amp;"€")</f>
        <v/>
      </c>
      <c r="E10">
        <f>IF(E8+E9&gt;=0,"SÍ","NO — faltan "&amp;TEXT(-(E8+E9),"#,##0")&amp;"€")</f>
        <v/>
      </c>
    </row>
    <row r="12" ht="50" customHeight="1">
      <c r="B12" s="24" t="inlineStr">
        <is>
          <t>Metodología: cada impacto se estima como delta directo sobre el punto de tensión base (no se reconstruye un cronograma de 42 meses completo). Es una aproximación transparente, no una simulación exacta mes a mes del escenario de estrés.</t>
        </is>
      </c>
    </row>
    <row r="13"/>
    <row r="14"/>
  </sheetData>
  <mergeCells count="1">
    <mergeCell ref="B12: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D21"/>
  <sheetViews>
    <sheetView showGridLines="0" workbookViewId="0">
      <selection activeCell="A1" sqref="A1"/>
    </sheetView>
  </sheetViews>
  <sheetFormatPr baseColWidth="8" defaultRowHeight="15" outlineLevelCol="0"/>
  <cols>
    <col width="2" customWidth="1" min="1" max="1"/>
    <col width="50" customWidth="1" min="2" max="2"/>
    <col width="26" customWidth="1" min="3" max="3"/>
    <col width="26" customWidth="1" min="4" max="4"/>
  </cols>
  <sheetData>
    <row r="1">
      <c r="B1" s="1" t="inlineStr">
        <is>
          <t>DECISIÓN — los 230k de ING no pueden ir a los dos sitios</t>
        </is>
      </c>
    </row>
    <row r="2">
      <c r="B2" s="2" t="inlineStr">
        <is>
          <t>Mejor escenario de alquiler (A/B/C) por rentabilidad neta y payback: Escenario C (350k, capital/costa).</t>
        </is>
      </c>
    </row>
    <row r="4">
      <c r="B4" s="5" t="inlineStr">
        <is>
          <t>Concepto</t>
        </is>
      </c>
      <c r="C4" s="19" t="inlineStr">
        <is>
          <t>Opción 1 — 230k a vivienda principal (Ibiza)</t>
        </is>
      </c>
      <c r="D4" s="19" t="inlineStr">
        <is>
          <t>Opción 2 — 230k a edificio Alicante (mejor: Escenario C)</t>
        </is>
      </c>
    </row>
    <row r="5">
      <c r="B5" t="inlineStr">
        <is>
          <t>Estructura de financiación</t>
        </is>
      </c>
      <c r="C5" t="inlineStr">
        <is>
          <t>230k ampliación ING + 130k hipoteca nueva = 360k</t>
        </is>
      </c>
      <c r="D5" t="inlineStr">
        <is>
          <t>230k ampliación ING (financia parte de fondos propios del edificio)</t>
        </is>
      </c>
    </row>
    <row r="6">
      <c r="B6" t="inlineStr">
        <is>
          <t>Cuota ampliación 230k (€/mes)</t>
        </is>
      </c>
      <c r="C6" s="7">
        <f>'2_Rehipoteca'!$B$16</f>
        <v/>
      </c>
      <c r="D6" s="7">
        <f>'4_Comparativa'!E16</f>
        <v/>
      </c>
    </row>
    <row r="7">
      <c r="B7" t="inlineStr">
        <is>
          <t>Cuota hipoteca nueva 130k (€/mes)</t>
        </is>
      </c>
      <c r="C7" s="7">
        <f>PMT('1_Inputs'!$B$73/12,'1_Inputs'!$B$74*12,-'1_Inputs'!$B$72)</f>
        <v/>
      </c>
      <c r="D7" t="inlineStr">
        <is>
          <t>N/A — no hay 2ª hipoteca en esta opción</t>
        </is>
      </c>
    </row>
    <row r="8">
      <c r="B8" s="4" t="inlineStr">
        <is>
          <t>CUOTA TOTAL VIVIENDA PRINCIPAL (€/mes)</t>
        </is>
      </c>
      <c r="C8" s="7">
        <f>C6+C7</f>
        <v/>
      </c>
      <c r="D8" s="7">
        <f>'4_Comparativa'!E18</f>
        <v/>
      </c>
    </row>
    <row r="9">
      <c r="B9" t="inlineStr">
        <is>
          <t>Alquiler actual que deja de pagar (€/mes)</t>
        </is>
      </c>
      <c r="C9" s="7">
        <f>'1_Inputs'!$B$61</f>
        <v/>
      </c>
      <c r="D9" t="inlineStr">
        <is>
          <t>N/A</t>
        </is>
      </c>
    </row>
    <row r="10">
      <c r="B10" s="4" t="inlineStr">
        <is>
          <t>AHORRO/COSTE NETO MENSUAL (€/mes)</t>
        </is>
      </c>
      <c r="C10" s="21">
        <f>C9-C8</f>
        <v/>
      </c>
      <c r="D10" s="21">
        <f>'4_Comparativa'!E50</f>
        <v/>
      </c>
    </row>
    <row r="11">
      <c r="B11" t="inlineStr">
        <is>
          <t>Valor inmueble estimado (€)</t>
        </is>
      </c>
      <c r="C11" s="7">
        <f>'1_Inputs'!$B$71</f>
        <v/>
      </c>
      <c r="D11" s="7">
        <f>'4_Comparativa'!E31</f>
        <v/>
      </c>
    </row>
    <row r="12">
      <c r="B12" t="inlineStr">
        <is>
          <t>Revalorización anual asumida (%)</t>
        </is>
      </c>
      <c r="C12" s="16">
        <f>'1_Inputs'!$B$70</f>
        <v/>
      </c>
      <c r="D12" s="16">
        <f>'1_Inputs'!$B$70</f>
        <v/>
      </c>
    </row>
    <row r="13">
      <c r="B13" s="4" t="inlineStr">
        <is>
          <t>RETORNO TOTAL A 5 AÑOS (€)</t>
        </is>
      </c>
      <c r="C13" s="7">
        <f>C10*60+C11*((1+C12)^5-1)</f>
        <v/>
      </c>
      <c r="D13" s="7">
        <f>D10*60+D11*((1+D12)^5-1)</f>
        <v/>
      </c>
    </row>
    <row r="14">
      <c r="B14" s="4" t="inlineStr">
        <is>
          <t>RETORNO TOTAL A 10 AÑOS (€)</t>
        </is>
      </c>
      <c r="C14" s="21">
        <f>C10*120+C11*((1+C12)^10-1)</f>
        <v/>
      </c>
      <c r="D14" s="21">
        <f>D10*120+D11*((1+D12)^10-1)</f>
        <v/>
      </c>
    </row>
    <row r="16" ht="55" customHeight="1">
      <c r="B16" s="18" t="inlineStr">
        <is>
          <t>⚠️ Esta comparación de Opción 2 es teórica: el Escenario C, por sí solo, ya sale NO financiable con solo nóminas y la liquidez no cubre sus fondos propios (ver 4_Comparativa). Sirve para comparar retorno potencial, no significa que la operación esté lista para ejecutar.</t>
        </is>
      </c>
    </row>
    <row r="17"/>
    <row r="18"/>
    <row r="20">
      <c r="B20" s="5" t="inlineStr">
        <is>
          <t>CONCLUSIÓN</t>
        </is>
      </c>
    </row>
    <row r="21">
      <c r="B21" s="4">
        <f>IF(C14&gt;D14,"Mejor opción a 10 años: VIVIENDA PRINCIPAL ("&amp;TEXT(C14,"#,##0")&amp;"€ vs Alicante "&amp;TEXT(D14,"#,##0")&amp;"€)","Mejor opción a 10 años: EDIFICIO ALICANTE escenario C ("&amp;TEXT(D14,"#,##0")&amp;"€ vs vivienda principal "&amp;TEXT(C14,"#,##0")&amp;"€)")</f>
        <v/>
      </c>
    </row>
  </sheetData>
  <mergeCells count="2">
    <mergeCell ref="B16:D18"/>
    <mergeCell ref="B21:D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outlineLevelCol="0"/>
  <cols>
    <col width="2" customWidth="1" min="1" max="1"/>
    <col width="52" customWidth="1" min="2" max="2"/>
    <col width="22" customWidth="1" min="3" max="3"/>
    <col width="22" customWidth="1" min="4" max="4"/>
    <col width="22" customWidth="1" min="5" max="5"/>
  </cols>
  <sheetData>
    <row r="1">
      <c r="B1" s="1" t="inlineStr">
        <is>
          <t>ESCENARIOS D (contado) / E (flip) / F (mixto)</t>
        </is>
      </c>
    </row>
    <row r="3">
      <c r="B3" s="5" t="inlineStr">
        <is>
          <t>ESCENARIO D — Compra al contado, sin hipoteca nueva (150.000€)</t>
        </is>
      </c>
      <c r="C3" s="6" t="n"/>
      <c r="D3" s="6" t="n"/>
      <c r="E3" s="6" t="n"/>
    </row>
    <row r="4">
      <c r="A4" t="inlineStr">
        <is>
          <t>Precio edificio (€)</t>
        </is>
      </c>
      <c r="C4" s="7">
        <f>'1_Inputs'!$B$62</f>
        <v/>
      </c>
    </row>
    <row r="5">
      <c r="A5" t="inlineStr">
        <is>
          <t>ITP (€)</t>
        </is>
      </c>
      <c r="C5" s="7">
        <f>C4*'1_Inputs'!$B$40</f>
        <v/>
      </c>
    </row>
    <row r="6">
      <c r="A6" t="inlineStr">
        <is>
          <t>Notaría+registro+gestoría (€)</t>
        </is>
      </c>
      <c r="C6" s="7">
        <f>'1_Inputs'!$B$41</f>
        <v/>
      </c>
    </row>
    <row r="7">
      <c r="A7" t="inlineStr">
        <is>
          <t>Total gastos de compra (€)</t>
        </is>
      </c>
      <c r="C7" s="7">
        <f>C5+C6</f>
        <v/>
      </c>
    </row>
    <row r="8">
      <c r="A8" t="inlineStr">
        <is>
          <t>Reforma por unidad (€)</t>
        </is>
      </c>
      <c r="C8" s="7">
        <f>('1_Inputs'!$B$48+'1_Inputs'!$B$49)*'1_Inputs'!$B$51</f>
        <v/>
      </c>
    </row>
    <row r="9">
      <c r="A9" t="inlineStr">
        <is>
          <t>Reforma total edificio (€)</t>
        </is>
      </c>
      <c r="C9" s="7">
        <f>C8*'1_Inputs'!$B$52+'1_Inputs'!$B$50</f>
        <v/>
      </c>
    </row>
    <row r="10">
      <c r="B10" s="4" t="inlineStr">
        <is>
          <t>FONDOS PROPIOS NECESARIOS — 100% cash (€)</t>
        </is>
      </c>
      <c r="C10" s="14">
        <f>C4+C7+C9</f>
        <v/>
      </c>
    </row>
    <row r="11">
      <c r="A11" t="inlineStr">
        <is>
          <t>Liquidez neta disponible (rehipoteca) (€)</t>
        </is>
      </c>
      <c r="C11" s="7">
        <f>'2_Rehipoteca'!$B$12</f>
        <v/>
      </c>
    </row>
    <row r="12">
      <c r="B12" s="4" t="inlineStr">
        <is>
          <t>¿LIQUIDEZ CUBRE FONDOS PROPIOS?</t>
        </is>
      </c>
      <c r="C12">
        <f>IF(C11&gt;=C10,"SÍ — sobran "&amp;TEXT(C11-C10,"#,##0")&amp;"€","NO — faltan "&amp;TEXT(C10-C11,"#,##0")&amp;"€")</f>
        <v/>
      </c>
    </row>
    <row r="13">
      <c r="A13" t="inlineStr">
        <is>
          <t>Cuota total mensual (solo San Antonio, sin hipoteca edificio) (€)</t>
        </is>
      </c>
      <c r="C13" s="7">
        <f>'2_Rehipoteca'!$B$16</f>
        <v/>
      </c>
    </row>
    <row r="14">
      <c r="A14" t="inlineStr">
        <is>
          <t>Techo endeudamiento (€/mes)</t>
        </is>
      </c>
      <c r="C14" s="7">
        <f>'3_CapacidadDeuda'!$B$5</f>
        <v/>
      </c>
    </row>
    <row r="15">
      <c r="B15" s="4" t="inlineStr">
        <is>
          <t>¿ENTRA EN EL TECHO DE ENDEUDAMIENTO?</t>
        </is>
      </c>
      <c r="C15">
        <f>IF(C13&lt;=C14,"SÍ","NO")</f>
        <v/>
      </c>
    </row>
    <row r="16">
      <c r="A16" t="inlineStr">
        <is>
          <t>Renta mensual por unidad asumida (€)</t>
        </is>
      </c>
      <c r="C16" s="7">
        <f>'1_Inputs'!$B$63</f>
        <v/>
      </c>
    </row>
    <row r="17">
      <c r="A17" t="inlineStr">
        <is>
          <t>Renta mensual total (€)</t>
        </is>
      </c>
      <c r="C17" s="7">
        <f>C16*'1_Inputs'!$B$52</f>
        <v/>
      </c>
    </row>
    <row r="18">
      <c r="A18" t="inlineStr">
        <is>
          <t>Renta anual bruta (€)</t>
        </is>
      </c>
      <c r="C18" s="7">
        <f>C17*12</f>
        <v/>
      </c>
    </row>
    <row r="19">
      <c r="A19" t="inlineStr">
        <is>
          <t>Gastos anuales (vacancia+IBI+comunidad+seguros+mantenimiento) (€)</t>
        </is>
      </c>
      <c r="C19" s="7">
        <f>C18*'1_Inputs'!$B$42+'1_Inputs'!$B$43*'1_Inputs'!$B$52+'1_Inputs'!$B$44*'1_Inputs'!$B$52+'1_Inputs'!$B$45*'1_Inputs'!$B$52+C18*'1_Inputs'!$B$46</f>
        <v/>
      </c>
    </row>
    <row r="20">
      <c r="A20" t="inlineStr">
        <is>
          <t>Renta neta anual antes IRPF (€)</t>
        </is>
      </c>
      <c r="C20" s="7">
        <f>C18-C19</f>
        <v/>
      </c>
    </row>
    <row r="21">
      <c r="A21" t="inlineStr">
        <is>
          <t>IRPF anual (€)</t>
        </is>
      </c>
      <c r="C21" s="7">
        <f>IF(C20&gt;0,C20*'1_Inputs'!$B$47,0)</f>
        <v/>
      </c>
    </row>
    <row r="22">
      <c r="B22" s="4" t="inlineStr">
        <is>
          <t>CASH FLOW ANUAL NETO (€) — sin cuota de hipoteca de edificio</t>
        </is>
      </c>
      <c r="C22" s="21">
        <f>C20-C21</f>
        <v/>
      </c>
    </row>
    <row r="23">
      <c r="A23" t="inlineStr">
        <is>
          <t>Cash flow mensual (€)</t>
        </is>
      </c>
      <c r="C23" s="7">
        <f>C22/12</f>
        <v/>
      </c>
    </row>
    <row r="24">
      <c r="A24" t="inlineStr">
        <is>
          <t>Payback fondos propios (años)</t>
        </is>
      </c>
      <c r="C24">
        <f>IF(C22&gt;0,C10/C22,"N/A")</f>
        <v/>
      </c>
    </row>
    <row r="25" ht="55" customHeight="1">
      <c r="B25" s="24" t="inlineStr">
        <is>
          <t>Nota: reforma escalonada (unidad a unidad según caja lo permite) — al no haber presión de cuota de hipoteca nueva y sobrar liquidez respecto a fondos propios (ver fila arriba), no hace falta un cronograma mes a mes: la caja disponible cubre la reforma completa desde el principio.</t>
        </is>
      </c>
    </row>
    <row r="26"/>
    <row r="27"/>
    <row r="30">
      <c r="B30" s="5" t="inlineStr">
        <is>
          <t>ESCENARIO E — Compra-reforma-VENTA (flip), mismo edificio A/B/C por zona</t>
        </is>
      </c>
      <c r="C30" s="5" t="inlineStr">
        <is>
          <t>A (200k interior)</t>
        </is>
      </c>
      <c r="D30" s="5" t="inlineStr">
        <is>
          <t>B (275k intermedio)</t>
        </is>
      </c>
      <c r="E30" s="5" t="inlineStr">
        <is>
          <t>C (350k capital/costa)</t>
        </is>
      </c>
    </row>
    <row r="31">
      <c r="B31" t="inlineStr">
        <is>
          <t>Coste base (compra+gastos+reforma) (€)</t>
        </is>
      </c>
      <c r="C31" s="7">
        <f>'4_Comparativa'!C31</f>
        <v/>
      </c>
      <c r="D31" s="7">
        <f>'4_Comparativa'!D31</f>
        <v/>
      </c>
      <c r="E31" s="7">
        <f>'4_Comparativa'!E31</f>
        <v/>
      </c>
    </row>
    <row r="32">
      <c r="B32" t="inlineStr">
        <is>
          <t>Precio venta por unidad (€) — editable por zona</t>
        </is>
      </c>
      <c r="C32" s="7">
        <f>'1_Inputs'!$B$64</f>
        <v/>
      </c>
      <c r="D32" s="7">
        <f>'1_Inputs'!$B$65</f>
        <v/>
      </c>
      <c r="E32" s="7">
        <f>'1_Inputs'!$B$66</f>
        <v/>
      </c>
    </row>
    <row r="33">
      <c r="B33" t="inlineStr">
        <is>
          <t>Ingreso venta total 6 unidades (€)</t>
        </is>
      </c>
      <c r="C33" s="7">
        <f>C32*'1_Inputs'!$B$52</f>
        <v/>
      </c>
      <c r="D33" s="7">
        <f>D32*'1_Inputs'!$B$52</f>
        <v/>
      </c>
      <c r="E33" s="7">
        <f>E32*'1_Inputs'!$B$52</f>
        <v/>
      </c>
    </row>
    <row r="34">
      <c r="B34" s="4" t="inlineStr">
        <is>
          <t>MARGEN BRUTO (€)</t>
        </is>
      </c>
      <c r="C34" s="7">
        <f>C33-C31</f>
        <v/>
      </c>
      <c r="D34" s="7">
        <f>D33-D31</f>
        <v/>
      </c>
      <c r="E34" s="7">
        <f>E33-E31</f>
        <v/>
      </c>
    </row>
    <row r="35">
      <c r="B35" t="inlineStr">
        <is>
          <t>Plusvalía municipal total (6 unidades) (€)</t>
        </is>
      </c>
      <c r="C35" s="7">
        <f>'1_Inputs'!$B$67*'1_Inputs'!$B$52</f>
        <v/>
      </c>
      <c r="D35" s="7">
        <f>'1_Inputs'!$B$67*'1_Inputs'!$B$52</f>
        <v/>
      </c>
      <c r="E35" s="7">
        <f>'1_Inputs'!$B$67*'1_Inputs'!$B$52</f>
        <v/>
      </c>
    </row>
    <row r="36">
      <c r="B36" t="inlineStr">
        <is>
          <t>Ganancia patrimonial sujeta a IRPF (€)</t>
        </is>
      </c>
      <c r="C36" s="7">
        <f>MAX(0,C34-C35)</f>
        <v/>
      </c>
      <c r="D36" s="7">
        <f>MAX(0,D34-D35)</f>
        <v/>
      </c>
      <c r="E36" s="7">
        <f>MAX(0,E34-E35)</f>
        <v/>
      </c>
    </row>
    <row r="37">
      <c r="B37" t="inlineStr">
        <is>
          <t>IRPF ganancia patrimonial (€)</t>
        </is>
      </c>
      <c r="C37" s="7">
        <f>C36*'1_Inputs'!$B$68</f>
        <v/>
      </c>
      <c r="D37" s="7">
        <f>D36*'1_Inputs'!$B$68</f>
        <v/>
      </c>
      <c r="E37" s="7">
        <f>E36*'1_Inputs'!$B$68</f>
        <v/>
      </c>
    </row>
    <row r="38">
      <c r="B38" s="4" t="inlineStr">
        <is>
          <t>MARGEN NETO (€)</t>
        </is>
      </c>
      <c r="C38" s="21">
        <f>C34-C35-C37</f>
        <v/>
      </c>
      <c r="D38" s="21">
        <f>D34-D35-D37</f>
        <v/>
      </c>
      <c r="E38" s="21">
        <f>E34-E35-E37</f>
        <v/>
      </c>
    </row>
    <row r="39">
      <c r="B39" t="inlineStr">
        <is>
          <t>Fondos propios invertidos (€)</t>
        </is>
      </c>
      <c r="C39" s="7">
        <f>'4_Comparativa'!C32</f>
        <v/>
      </c>
      <c r="D39" s="7">
        <f>'4_Comparativa'!D32</f>
        <v/>
      </c>
      <c r="E39" s="7">
        <f>'4_Comparativa'!E32</f>
        <v/>
      </c>
    </row>
    <row r="40">
      <c r="B40" t="inlineStr">
        <is>
          <t>ROI sobre fondos propios (%)</t>
        </is>
      </c>
      <c r="C40" s="16">
        <f>C38/C39</f>
        <v/>
      </c>
      <c r="D40" s="16">
        <f>D38/D39</f>
        <v/>
      </c>
      <c r="E40" s="16">
        <f>E38/E39</f>
        <v/>
      </c>
    </row>
    <row r="41">
      <c r="B41" t="inlineStr">
        <is>
          <t>Duración obra (meses)</t>
        </is>
      </c>
      <c r="C41">
        <f>3*'1_Inputs'!$B$53</f>
        <v/>
      </c>
      <c r="D41">
        <f>3*'1_Inputs'!$B$53</f>
        <v/>
      </c>
      <c r="E41">
        <f>3*'1_Inputs'!$B$53</f>
        <v/>
      </c>
    </row>
    <row r="42">
      <c r="B42" t="inlineStr">
        <is>
          <t>Meses comercialización venta</t>
        </is>
      </c>
      <c r="C42">
        <f>'1_Inputs'!$B$69</f>
        <v/>
      </c>
      <c r="D42">
        <f>'1_Inputs'!$B$69</f>
        <v/>
      </c>
      <c r="E42">
        <f>'1_Inputs'!$B$69</f>
        <v/>
      </c>
    </row>
    <row r="43">
      <c r="B43" t="inlineStr">
        <is>
          <t>Plazo total operación (meses)</t>
        </is>
      </c>
      <c r="C43">
        <f>C41+C42</f>
        <v/>
      </c>
      <c r="D43">
        <f>D41+D42</f>
        <v/>
      </c>
      <c r="E43">
        <f>E41+E42</f>
        <v/>
      </c>
    </row>
    <row r="44">
      <c r="B44" s="4" t="inlineStr">
        <is>
          <t>ROI ANUALIZADO (%)</t>
        </is>
      </c>
      <c r="C44" s="8">
        <f>(1+C40)^(12/C43)-1</f>
        <v/>
      </c>
      <c r="D44" s="8">
        <f>(1+D40)^(12/D43)-1</f>
        <v/>
      </c>
      <c r="E44" s="8">
        <f>(1+E40)^(12/E43)-1</f>
        <v/>
      </c>
    </row>
    <row r="45">
      <c r="B45" t="inlineStr">
        <is>
          <t>Rentabilidad neta anual alquiler (comparación, Comparativa) (%)</t>
        </is>
      </c>
      <c r="C45" s="16">
        <f>'4_Comparativa'!C52</f>
        <v/>
      </c>
      <c r="D45" s="16">
        <f>'4_Comparativa'!D52</f>
        <v/>
      </c>
      <c r="E45" s="16">
        <f>'4_Comparativa'!E52</f>
        <v/>
      </c>
    </row>
    <row r="46">
      <c r="B46" s="4" t="inlineStr">
        <is>
          <t>¿FLIP MEJOR QUE ALQUILAR?</t>
        </is>
      </c>
      <c r="C46">
        <f>IF(C44&gt;C45,"SÍ, flip mejor","NO, alquiler mejor")</f>
        <v/>
      </c>
      <c r="D46">
        <f>IF(D44&gt;D45,"SÍ, flip mejor","NO, alquiler mejor")</f>
        <v/>
      </c>
      <c r="E46">
        <f>IF(E44&gt;E45,"SÍ, flip mejor","NO, alquiler mejor")</f>
        <v/>
      </c>
    </row>
    <row r="49">
      <c r="B49" s="5" t="inlineStr">
        <is>
          <t>ESCENARIO F — MIXTO: vender 3 unidades, quedarse 3 alquiladas</t>
        </is>
      </c>
      <c r="C49" s="5" t="inlineStr">
        <is>
          <t>A (200k)</t>
        </is>
      </c>
      <c r="D49" s="5" t="inlineStr">
        <is>
          <t>B (275k)</t>
        </is>
      </c>
      <c r="E49" s="5" t="inlineStr">
        <is>
          <t>C (350k)</t>
        </is>
      </c>
    </row>
    <row r="50">
      <c r="B50" s="2" t="inlineStr">
        <is>
          <t>Supuesto simplificador: la deuda del edificio y los gastos/ingresos se reparten 50/50 entre las 3 unidades vendidas y las 3 que se quedan.</t>
        </is>
      </c>
    </row>
    <row r="51">
      <c r="B51" t="inlineStr">
        <is>
          <t>Ingreso venta 3 unidades (€)</t>
        </is>
      </c>
      <c r="C51" s="7">
        <f>C32*3</f>
        <v/>
      </c>
      <c r="D51" s="7">
        <f>D32*3</f>
        <v/>
      </c>
      <c r="E51" s="7">
        <f>E32*3</f>
        <v/>
      </c>
    </row>
    <row r="52">
      <c r="B52" t="inlineStr">
        <is>
          <t>Plusvalía municipal (3 unidades) (€)</t>
        </is>
      </c>
      <c r="C52" s="7">
        <f>'1_Inputs'!$B$67*3</f>
        <v/>
      </c>
      <c r="D52" s="7">
        <f>'1_Inputs'!$B$67*3</f>
        <v/>
      </c>
      <c r="E52" s="7">
        <f>'1_Inputs'!$B$67*3</f>
        <v/>
      </c>
    </row>
    <row r="53">
      <c r="B53" t="inlineStr">
        <is>
          <t>Coste base proporcional (3 de 6 unidades) (€)</t>
        </is>
      </c>
      <c r="C53" s="7">
        <f>C31/2</f>
        <v/>
      </c>
      <c r="D53" s="7">
        <f>D31/2</f>
        <v/>
      </c>
      <c r="E53" s="7">
        <f>E31/2</f>
        <v/>
      </c>
    </row>
    <row r="54">
      <c r="B54" t="inlineStr">
        <is>
          <t>Margen bruto venta 3 unidades (€)</t>
        </is>
      </c>
      <c r="C54" s="7">
        <f>C51-C53</f>
        <v/>
      </c>
      <c r="D54" s="7">
        <f>D51-D53</f>
        <v/>
      </c>
      <c r="E54" s="7">
        <f>E51-E53</f>
        <v/>
      </c>
    </row>
    <row r="55">
      <c r="B55" t="inlineStr">
        <is>
          <t>IRPF ganancia patrimonial (3 unidades) (€)</t>
        </is>
      </c>
      <c r="C55" s="7">
        <f>MAX(0,C54-C52)*'1_Inputs'!$B$68</f>
        <v/>
      </c>
      <c r="D55" s="7">
        <f>MAX(0,D54-D52)*'1_Inputs'!$B$68</f>
        <v/>
      </c>
      <c r="E55" s="7">
        <f>MAX(0,E54-E52)*'1_Inputs'!$B$68</f>
        <v/>
      </c>
    </row>
    <row r="56">
      <c r="B56" t="inlineStr">
        <is>
          <t>Hipoteca edificio pendiente antes de vender (€)</t>
        </is>
      </c>
      <c r="C56" s="7">
        <f>'4_Comparativa'!C12</f>
        <v/>
      </c>
      <c r="D56" s="7">
        <f>'4_Comparativa'!D12</f>
        <v/>
      </c>
      <c r="E56" s="7">
        <f>'4_Comparativa'!E12</f>
        <v/>
      </c>
    </row>
    <row r="57">
      <c r="B57" t="inlineStr">
        <is>
          <t>Deuda amortizada con la venta (50%, proporcional) (€)</t>
        </is>
      </c>
      <c r="C57" s="7">
        <f>C56/2</f>
        <v/>
      </c>
      <c r="D57" s="7">
        <f>D56/2</f>
        <v/>
      </c>
      <c r="E57" s="7">
        <f>E56/2</f>
        <v/>
      </c>
    </row>
    <row r="58">
      <c r="B58" s="4" t="inlineStr">
        <is>
          <t>CAPITAL NETO RECUPERADO (€)</t>
        </is>
      </c>
      <c r="C58" s="21">
        <f>C54-C55-C57</f>
        <v/>
      </c>
      <c r="D58" s="21">
        <f>D54-D55-D57</f>
        <v/>
      </c>
      <c r="E58" s="21">
        <f>E54-E55-E57</f>
        <v/>
      </c>
    </row>
    <row r="59">
      <c r="B59" t="inlineStr">
        <is>
          <t>Deuda residual (3 unidades restantes) (€)</t>
        </is>
      </c>
      <c r="C59" s="7">
        <f>C56/2</f>
        <v/>
      </c>
      <c r="D59" s="7">
        <f>D56/2</f>
        <v/>
      </c>
      <c r="E59" s="7">
        <f>E56/2</f>
        <v/>
      </c>
    </row>
    <row r="60">
      <c r="B60" t="inlineStr">
        <is>
          <t>Cuota hipoteca edificio residual (50%) (€/mes)</t>
        </is>
      </c>
      <c r="C60" s="7">
        <f>'4_Comparativa'!C16/2</f>
        <v/>
      </c>
      <c r="D60" s="7">
        <f>'4_Comparativa'!D16/2</f>
        <v/>
      </c>
      <c r="E60" s="7">
        <f>'4_Comparativa'!E16/2</f>
        <v/>
      </c>
    </row>
    <row r="61">
      <c r="B61" t="inlineStr">
        <is>
          <t>Renta mensual 3 unidades restantes (€)</t>
        </is>
      </c>
      <c r="C61" s="7">
        <f>'4_Comparativa'!C36/2</f>
        <v/>
      </c>
      <c r="D61" s="7">
        <f>'4_Comparativa'!D36/2</f>
        <v/>
      </c>
      <c r="E61" s="7">
        <f>'4_Comparativa'!E36/2</f>
        <v/>
      </c>
    </row>
    <row r="62">
      <c r="B62" t="inlineStr">
        <is>
          <t>Gastos anuales proporcionales (3 unidades) (€)</t>
        </is>
      </c>
      <c r="C62" s="7">
        <f>'4_Comparativa'!C44/2</f>
        <v/>
      </c>
      <c r="D62" s="7">
        <f>'4_Comparativa'!D44/2</f>
        <v/>
      </c>
      <c r="E62" s="7">
        <f>'4_Comparativa'!E44/2</f>
        <v/>
      </c>
    </row>
    <row r="63">
      <c r="B63" s="4" t="inlineStr">
        <is>
          <t>CASH FLOW MENSUAL 3 UNIDADES RESTANTES (€)</t>
        </is>
      </c>
      <c r="C63" s="21">
        <f>(C61*12-C62)*(1-'1_Inputs'!$B$47)/12-C60-'2_Rehipoteca'!$B$16</f>
        <v/>
      </c>
      <c r="D63" s="21">
        <f>(D61*12-D62)*(1-'1_Inputs'!$B$47)/12-D60-'2_Rehipoteca'!$B$16</f>
        <v/>
      </c>
      <c r="E63" s="21">
        <f>(E61*12-E62)*(1-'1_Inputs'!$B$47)/12-E60-'2_Rehipoteca'!$B$16</f>
        <v/>
      </c>
    </row>
  </sheetData>
  <mergeCells count="2">
    <mergeCell ref="B25:E27"/>
    <mergeCell ref="B50:E5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8"/>
  <sheetViews>
    <sheetView showGridLines="0" workbookViewId="0">
      <selection activeCell="A1" sqref="A1"/>
    </sheetView>
  </sheetViews>
  <sheetFormatPr baseColWidth="8" defaultRowHeight="15" outlineLevelCol="0"/>
  <cols>
    <col width="2" customWidth="1" min="1" max="1"/>
    <col width="48" customWidth="1" min="2" max="2"/>
    <col width="18" customWidth="1" min="3" max="3"/>
    <col width="18" customWidth="1" min="4" max="4"/>
    <col width="18" customWidth="1" min="5" max="5"/>
    <col width="18" customWidth="1" min="6" max="6"/>
    <col width="18" customWidth="1" min="7" max="7"/>
  </cols>
  <sheetData>
    <row r="1">
      <c r="B1" s="1" t="inlineStr">
        <is>
          <t>SENSIBILIDAD — tasación San Antonio, renta, rentabilidad vs riesgo, % DSTI</t>
        </is>
      </c>
    </row>
    <row r="3" ht="60" customHeight="1">
      <c r="B3" s="25" t="inlineStr">
        <is>
          <t>⚠️ RIESGO CRÍTICO: el valor de San Antonio usado en 1_Inputs (350.000€, estimación BBVA) no está confirmado. José Luis ha manejado también 200.000€ en otras conversaciones. La ampliación de 230.000€ SOLO es coherente con una tasación oficial de ~330-350k. Tabla de abajo: qué pasa si la tasación oficial sale más baja.</t>
        </is>
      </c>
    </row>
    <row r="4"/>
    <row r="5"/>
    <row r="7">
      <c r="B7" s="4" t="inlineStr">
        <is>
          <t>Tasación oficial hipotética (€)</t>
        </is>
      </c>
      <c r="C7" s="7" t="n">
        <v>200000</v>
      </c>
      <c r="D7" s="14" t="n">
        <v>280000</v>
      </c>
      <c r="E7" s="14" t="n">
        <v>300000</v>
      </c>
      <c r="F7" s="14" t="n">
        <v>330000</v>
      </c>
      <c r="G7" s="14" t="n">
        <v>350000</v>
      </c>
    </row>
    <row r="8">
      <c r="A8" t="inlineStr">
        <is>
          <t>LTV máximo vivienda habitual (%)</t>
        </is>
      </c>
      <c r="C8" s="16">
        <f>'1_Inputs'!$B$60</f>
        <v/>
      </c>
      <c r="D8" s="16">
        <f>'1_Inputs'!$B$60</f>
        <v/>
      </c>
      <c r="E8" s="16">
        <f>'1_Inputs'!$B$60</f>
        <v/>
      </c>
      <c r="F8" s="16">
        <f>'1_Inputs'!$B$60</f>
        <v/>
      </c>
      <c r="G8" s="16">
        <f>'1_Inputs'!$B$60</f>
        <v/>
      </c>
    </row>
    <row r="9">
      <c r="A9" t="inlineStr">
        <is>
          <t>Hipoteca actual a cancelar (€)</t>
        </is>
      </c>
      <c r="C9" s="7">
        <f>'1_Inputs'!$B$14</f>
        <v/>
      </c>
      <c r="D9" s="7">
        <f>'1_Inputs'!$B$14</f>
        <v/>
      </c>
      <c r="E9" s="7">
        <f>'1_Inputs'!$B$14</f>
        <v/>
      </c>
      <c r="F9" s="7">
        <f>'1_Inputs'!$B$14</f>
        <v/>
      </c>
      <c r="G9" s="7">
        <f>'1_Inputs'!$B$14</f>
        <v/>
      </c>
    </row>
    <row r="10">
      <c r="B10" s="4" t="inlineStr">
        <is>
          <t>AMPLIACIÓN MÁXIMA TEÓRICA (€)</t>
        </is>
      </c>
      <c r="C10" s="7">
        <f>C7*C8-C9</f>
        <v/>
      </c>
      <c r="D10" s="7">
        <f>D7*D8-D9</f>
        <v/>
      </c>
      <c r="E10" s="7">
        <f>E7*E8-E9</f>
        <v/>
      </c>
      <c r="F10" s="7">
        <f>F7*F8-F9</f>
        <v/>
      </c>
      <c r="G10" s="7">
        <f>G7*G8-G9</f>
        <v/>
      </c>
    </row>
    <row r="11">
      <c r="B11" s="4" t="inlineStr">
        <is>
          <t>¿230.000€ es alcanzable a esta tasación?</t>
        </is>
      </c>
      <c r="C11">
        <f>IF(C10&gt;=230000,"SÍ","NO — máximo real "&amp;TEXT(C10,"#,##0")&amp;"€")</f>
        <v/>
      </c>
      <c r="D11">
        <f>IF(D10&gt;=230000,"SÍ","NO — máximo real "&amp;TEXT(D10,"#,##0")&amp;"€")</f>
        <v/>
      </c>
      <c r="E11">
        <f>IF(E10&gt;=230000,"SÍ","NO — máximo real "&amp;TEXT(E10,"#,##0")&amp;"€")</f>
        <v/>
      </c>
      <c r="F11">
        <f>IF(F10&gt;=230000,"SÍ","NO — máximo real "&amp;TEXT(F10,"#,##0")&amp;"€")</f>
        <v/>
      </c>
      <c r="G11">
        <f>IF(G10&gt;=230000,"SÍ","NO — máximo real "&amp;TEXT(G10,"#,##0")&amp;"€")</f>
        <v/>
      </c>
    </row>
    <row r="12">
      <c r="B12" t="inlineStr">
        <is>
          <t>Ampliación realista usada (€)</t>
        </is>
      </c>
      <c r="C12" s="7">
        <f>MAX(0,MIN(230000,C10))</f>
        <v/>
      </c>
      <c r="D12" s="7">
        <f>MAX(0,MIN(230000,D10))</f>
        <v/>
      </c>
      <c r="E12" s="7">
        <f>MAX(0,MIN(230000,E10))</f>
        <v/>
      </c>
      <c r="F12" s="7">
        <f>MAX(0,MIN(230000,F10))</f>
        <v/>
      </c>
      <c r="G12" s="7">
        <f>MAX(0,MIN(230000,G10))</f>
        <v/>
      </c>
    </row>
    <row r="13">
      <c r="B13" t="inlineStr">
        <is>
          <t>Comisión cancelación (€)</t>
        </is>
      </c>
      <c r="C13" s="7">
        <f>C9*'1_Inputs'!$B$30</f>
        <v/>
      </c>
      <c r="D13" s="7">
        <f>D9*'1_Inputs'!$B$30</f>
        <v/>
      </c>
      <c r="E13" s="7">
        <f>E9*'1_Inputs'!$B$30</f>
        <v/>
      </c>
      <c r="F13" s="7">
        <f>F9*'1_Inputs'!$B$30</f>
        <v/>
      </c>
      <c r="G13" s="7">
        <f>G9*'1_Inputs'!$B$30</f>
        <v/>
      </c>
    </row>
    <row r="14">
      <c r="B14" t="inlineStr">
        <is>
          <t>AJD sobre importe ampliado realista (€)</t>
        </is>
      </c>
      <c r="C14" s="7">
        <f>(C12-C9)*'1_Inputs'!$B$35</f>
        <v/>
      </c>
      <c r="D14" s="7">
        <f>(D12-D9)*'1_Inputs'!$B$35</f>
        <v/>
      </c>
      <c r="E14" s="7">
        <f>(E12-E9)*'1_Inputs'!$B$35</f>
        <v/>
      </c>
      <c r="F14" s="7">
        <f>(F12-F9)*'1_Inputs'!$B$35</f>
        <v/>
      </c>
      <c r="G14" s="7">
        <f>(G12-G9)*'1_Inputs'!$B$35</f>
        <v/>
      </c>
    </row>
    <row r="15">
      <c r="B15" t="inlineStr">
        <is>
          <t>Otros gastos operación (tasación+notaría+registro+gestoría) (€)</t>
        </is>
      </c>
      <c r="C15" s="7">
        <f>'1_Inputs'!$B$31+'1_Inputs'!$B$32+'1_Inputs'!$B$33+'1_Inputs'!$B$34</f>
        <v/>
      </c>
      <c r="D15" s="7">
        <f>'1_Inputs'!$B$31+'1_Inputs'!$B$32+'1_Inputs'!$B$33+'1_Inputs'!$B$34</f>
        <v/>
      </c>
      <c r="E15" s="7">
        <f>'1_Inputs'!$B$31+'1_Inputs'!$B$32+'1_Inputs'!$B$33+'1_Inputs'!$B$34</f>
        <v/>
      </c>
      <c r="F15" s="7">
        <f>'1_Inputs'!$B$31+'1_Inputs'!$B$32+'1_Inputs'!$B$33+'1_Inputs'!$B$34</f>
        <v/>
      </c>
      <c r="G15" s="7">
        <f>'1_Inputs'!$B$31+'1_Inputs'!$B$32+'1_Inputs'!$B$33+'1_Inputs'!$B$34</f>
        <v/>
      </c>
    </row>
    <row r="16">
      <c r="B16" s="4" t="inlineStr">
        <is>
          <t>LIQUIDEZ NETA RESULTANTE (€)</t>
        </is>
      </c>
      <c r="C16" s="21">
        <f>C12-C9-C13-C14-C15</f>
        <v/>
      </c>
      <c r="D16" s="21">
        <f>D12-D9-D13-D14-D15</f>
        <v/>
      </c>
      <c r="E16" s="21">
        <f>E12-E9-E13-E14-E15</f>
        <v/>
      </c>
      <c r="F16" s="21">
        <f>F12-F9-F13-F14-F15</f>
        <v/>
      </c>
      <c r="G16" s="21">
        <f>G12-G9-G13-G14-G15</f>
        <v/>
      </c>
    </row>
    <row r="17">
      <c r="B17" s="4" t="inlineStr">
        <is>
          <t>CUOTA MENSUAL RESULTANTE (€)</t>
        </is>
      </c>
      <c r="C17" s="7">
        <f>IF(C12&lt;=0,0,PMT('2_Rehipoteca'!$B$15/12,'2_Rehipoteca'!$B$14*12,-C12))</f>
        <v/>
      </c>
      <c r="D17" s="7">
        <f>IF(D12&lt;=0,0,PMT('2_Rehipoteca'!$B$15/12,'2_Rehipoteca'!$B$14*12,-D12))</f>
        <v/>
      </c>
      <c r="E17" s="7">
        <f>IF(E12&lt;=0,0,PMT('2_Rehipoteca'!$B$15/12,'2_Rehipoteca'!$B$14*12,-E12))</f>
        <v/>
      </c>
      <c r="F17" s="7">
        <f>IF(F12&lt;=0,0,PMT('2_Rehipoteca'!$B$15/12,'2_Rehipoteca'!$B$14*12,-F12))</f>
        <v/>
      </c>
      <c r="G17" s="7">
        <f>IF(G12&lt;=0,0,PMT('2_Rehipoteca'!$B$15/12,'2_Rehipoteca'!$B$14*12,-G12))</f>
        <v/>
      </c>
    </row>
    <row r="19">
      <c r="B19" s="2" t="inlineStr">
        <is>
          <t>Caso base actual del modelo = columna 350.000€ (coincide con 2_Rehipoteca).</t>
        </is>
      </c>
    </row>
    <row r="22">
      <c r="B22" s="20" t="inlineStr">
        <is>
          <t>RENTABILIDAD NETA vs TIPO LIBRE DE RIESGO</t>
        </is>
      </c>
    </row>
    <row r="23">
      <c r="B23" s="5" t="inlineStr">
        <is>
          <t>Concepto</t>
        </is>
      </c>
      <c r="C23" s="5" t="inlineStr">
        <is>
          <t>Escenario A</t>
        </is>
      </c>
      <c r="D23" s="5" t="inlineStr">
        <is>
          <t>Escenario B</t>
        </is>
      </c>
      <c r="E23" s="5" t="inlineStr">
        <is>
          <t>Escenario C</t>
        </is>
      </c>
    </row>
    <row r="24">
      <c r="A24" t="inlineStr">
        <is>
          <t>Rentabilidad neta (%)</t>
        </is>
      </c>
      <c r="C24" s="16">
        <f>'4_Comparativa'!C52</f>
        <v/>
      </c>
      <c r="D24" s="16">
        <f>'4_Comparativa'!D52</f>
        <v/>
      </c>
      <c r="E24" s="16">
        <f>'4_Comparativa'!E52</f>
        <v/>
      </c>
    </row>
    <row r="25">
      <c r="A25" t="inlineStr">
        <is>
          <t>Tipo libre de riesgo (%)</t>
        </is>
      </c>
      <c r="C25" s="16">
        <f>'1_Inputs'!$B$56</f>
        <v/>
      </c>
      <c r="D25" s="16">
        <f>'1_Inputs'!$B$56</f>
        <v/>
      </c>
      <c r="E25" s="16">
        <f>'1_Inputs'!$B$56</f>
        <v/>
      </c>
    </row>
    <row r="26">
      <c r="B26" s="4" t="inlineStr">
        <is>
          <t>¿Bate la alternativa sin riesgo?</t>
        </is>
      </c>
      <c r="C26">
        <f>IF(C24&gt;C25,"SÍ","NO")</f>
        <v/>
      </c>
      <c r="D26">
        <f>IF(D24&gt;D25,"SÍ","NO")</f>
        <v/>
      </c>
      <c r="E26">
        <f>IF(E24&gt;E25,"SÍ","NO")</f>
        <v/>
      </c>
    </row>
    <row r="29">
      <c r="B29" s="20" t="inlineStr">
        <is>
          <t>% DE RENTA FUTURA QUE EL BANCO TENDRÍA QUE CONTAR PARA HACER FINANCIABLE CADA ESCENARIO</t>
        </is>
      </c>
    </row>
    <row r="30">
      <c r="B30" s="5" t="inlineStr">
        <is>
          <t>Concepto</t>
        </is>
      </c>
      <c r="C30" s="5" t="inlineStr">
        <is>
          <t>Escenario A</t>
        </is>
      </c>
      <c r="D30" s="5" t="inlineStr">
        <is>
          <t>Escenario B</t>
        </is>
      </c>
      <c r="E30" s="5" t="inlineStr">
        <is>
          <t>Escenario C</t>
        </is>
      </c>
    </row>
    <row r="31">
      <c r="A31" t="inlineStr">
        <is>
          <t>Cuota total mensual combinada (€)</t>
        </is>
      </c>
      <c r="C31" s="7">
        <f>'4_Comparativa'!C18</f>
        <v/>
      </c>
      <c r="D31" s="7">
        <f>'4_Comparativa'!D18</f>
        <v/>
      </c>
      <c r="E31" s="7">
        <f>'4_Comparativa'!E18</f>
        <v/>
      </c>
    </row>
    <row r="32">
      <c r="A32" t="inlineStr">
        <is>
          <t>Ingresos nómina combinados (€)</t>
        </is>
      </c>
      <c r="C32" s="7">
        <f>'1_Inputs'!$B$7</f>
        <v/>
      </c>
      <c r="D32" s="7">
        <f>'1_Inputs'!$B$7</f>
        <v/>
      </c>
      <c r="E32" s="7">
        <f>'1_Inputs'!$B$7</f>
        <v/>
      </c>
    </row>
    <row r="33">
      <c r="A33" t="inlineStr">
        <is>
          <t>Renta mensual del edificio (€)</t>
        </is>
      </c>
      <c r="C33" s="7">
        <f>'4_Comparativa'!C36</f>
        <v/>
      </c>
      <c r="D33" s="7">
        <f>'4_Comparativa'!D36</f>
        <v/>
      </c>
      <c r="E33" s="7">
        <f>'4_Comparativa'!E36</f>
        <v/>
      </c>
    </row>
    <row r="34">
      <c r="A34" t="inlineStr">
        <is>
          <t>Techo endeudamiento (%)</t>
        </is>
      </c>
      <c r="C34" s="16">
        <f>'1_Inputs'!$B$8</f>
        <v/>
      </c>
      <c r="D34" s="16">
        <f>'1_Inputs'!$B$8</f>
        <v/>
      </c>
      <c r="E34" s="16">
        <f>'1_Inputs'!$B$8</f>
        <v/>
      </c>
    </row>
    <row r="35">
      <c r="B35" s="4" t="inlineStr">
        <is>
          <t>% MÍNIMO DE RENTA QUE EL BANCO DEBE CONTAR</t>
        </is>
      </c>
      <c r="C35" s="8">
        <f>MAX(0,(C31/C34-C32)/C33)</f>
        <v/>
      </c>
      <c r="D35" s="8">
        <f>MAX(0,(D31/D34-D32)/D33)</f>
        <v/>
      </c>
      <c r="E35" s="8">
        <f>MAX(0,(E31/E34-E32)/E33)</f>
        <v/>
      </c>
    </row>
    <row r="36">
      <c r="B36" s="4" t="inlineStr">
        <is>
          <t>Veredicto</t>
        </is>
      </c>
      <c r="C36">
        <f>IF(C35&lt;=0,"Ya financiable sin contar renta",IF(C35&lt;=1,"Necesita que el banco cuente "&amp;TEXT(C35,"0%")&amp;" de la renta","Ni contando el 100% de la renta es financiable"))</f>
        <v/>
      </c>
      <c r="D36">
        <f>IF(D35&lt;=0,"Ya financiable sin contar renta",IF(D35&lt;=1,"Necesita que el banco cuente "&amp;TEXT(D35,"0%")&amp;" de la renta","Ni contando el 100% de la renta es financiable"))</f>
        <v/>
      </c>
      <c r="E36">
        <f>IF(E35&lt;=0,"Ya financiable sin contar renta",IF(E35&lt;=1,"Necesita que el banco cuente "&amp;TEXT(E35,"0%")&amp;" de la renta","Ni contando el 100% de la renta es financiable"))</f>
        <v/>
      </c>
    </row>
    <row r="39">
      <c r="B39" s="20" t="inlineStr">
        <is>
          <t>SENSIBILIDAD DE RENTA — cash flow anual y payback, por escenario de precio</t>
        </is>
      </c>
    </row>
    <row r="40">
      <c r="B40" s="2" t="inlineStr">
        <is>
          <t>La renta de 350€/unidad en interior está sin validar. Tabla: qué pasa con cash flow y payback si la renta real es distinta.</t>
        </is>
      </c>
    </row>
    <row r="41">
      <c r="B41" s="5" t="inlineStr">
        <is>
          <t>Escenario A (200k)</t>
        </is>
      </c>
      <c r="C41" s="6" t="n"/>
      <c r="D41" s="6" t="n"/>
      <c r="E41" s="6" t="n"/>
    </row>
    <row r="42">
      <c r="B42" s="22" t="inlineStr">
        <is>
          <t>Renta €/unidad</t>
        </is>
      </c>
      <c r="C42" s="22" t="inlineStr">
        <is>
          <t>Cash flow anual (€)</t>
        </is>
      </c>
      <c r="D42" s="22" t="inlineStr">
        <is>
          <t>Cash flow mensual (€)</t>
        </is>
      </c>
      <c r="E42" s="22" t="inlineStr">
        <is>
          <t>Payback (años)</t>
        </is>
      </c>
    </row>
    <row r="43">
      <c r="B43" s="7" t="n">
        <v>300</v>
      </c>
      <c r="C43" s="7">
        <f>((300*'4_Comparativa'!$C$24*12)-((300*'4_Comparativa'!$C$24*12)*'1_Inputs'!$B$42+(300*'4_Comparativa'!$C$24*12)*'1_Inputs'!$B$46+'4_Comparativa'!$C$40+'4_Comparativa'!$C$41+'4_Comparativa'!$C$42))-(MAX(0,((300*'4_Comparativa'!$C$24*12)-((300*'4_Comparativa'!$C$24*12)*'1_Inputs'!$B$42+(300*'4_Comparativa'!$C$24*12)*'1_Inputs'!$B$46+'4_Comparativa'!$C$40+'4_Comparativa'!$C$41+'4_Comparativa'!$C$42))*'1_Inputs'!$B$47))-'4_Comparativa'!$C$48</f>
        <v/>
      </c>
      <c r="D43" s="7">
        <f>C43/12</f>
        <v/>
      </c>
      <c r="E43">
        <f>IF(C43&gt;0,'4_Comparativa'!$C$32/C43,"N/A")</f>
        <v/>
      </c>
    </row>
    <row r="44">
      <c r="B44" s="7" t="n">
        <v>350</v>
      </c>
      <c r="C44" s="7">
        <f>((350*'4_Comparativa'!$C$24*12)-((350*'4_Comparativa'!$C$24*12)*'1_Inputs'!$B$42+(350*'4_Comparativa'!$C$24*12)*'1_Inputs'!$B$46+'4_Comparativa'!$C$40+'4_Comparativa'!$C$41+'4_Comparativa'!$C$42))-(MAX(0,((350*'4_Comparativa'!$C$24*12)-((350*'4_Comparativa'!$C$24*12)*'1_Inputs'!$B$42+(350*'4_Comparativa'!$C$24*12)*'1_Inputs'!$B$46+'4_Comparativa'!$C$40+'4_Comparativa'!$C$41+'4_Comparativa'!$C$42))*'1_Inputs'!$B$47))-'4_Comparativa'!$C$48</f>
        <v/>
      </c>
      <c r="D44" s="7">
        <f>C44/12</f>
        <v/>
      </c>
      <c r="E44">
        <f>IF(C44&gt;0,'4_Comparativa'!$C$32/C44,"N/A")</f>
        <v/>
      </c>
    </row>
    <row r="45">
      <c r="B45" s="7" t="n">
        <v>400</v>
      </c>
      <c r="C45" s="7">
        <f>((400*'4_Comparativa'!$C$24*12)-((400*'4_Comparativa'!$C$24*12)*'1_Inputs'!$B$42+(400*'4_Comparativa'!$C$24*12)*'1_Inputs'!$B$46+'4_Comparativa'!$C$40+'4_Comparativa'!$C$41+'4_Comparativa'!$C$42))-(MAX(0,((400*'4_Comparativa'!$C$24*12)-((400*'4_Comparativa'!$C$24*12)*'1_Inputs'!$B$42+(400*'4_Comparativa'!$C$24*12)*'1_Inputs'!$B$46+'4_Comparativa'!$C$40+'4_Comparativa'!$C$41+'4_Comparativa'!$C$42))*'1_Inputs'!$B$47))-'4_Comparativa'!$C$48</f>
        <v/>
      </c>
      <c r="D45" s="7">
        <f>C45/12</f>
        <v/>
      </c>
      <c r="E45">
        <f>IF(C45&gt;0,'4_Comparativa'!$C$32/C45,"N/A")</f>
        <v/>
      </c>
    </row>
    <row r="46">
      <c r="B46" s="7" t="n">
        <v>450</v>
      </c>
      <c r="C46" s="7">
        <f>((450*'4_Comparativa'!$C$24*12)-((450*'4_Comparativa'!$C$24*12)*'1_Inputs'!$B$42+(450*'4_Comparativa'!$C$24*12)*'1_Inputs'!$B$46+'4_Comparativa'!$C$40+'4_Comparativa'!$C$41+'4_Comparativa'!$C$42))-(MAX(0,((450*'4_Comparativa'!$C$24*12)-((450*'4_Comparativa'!$C$24*12)*'1_Inputs'!$B$42+(450*'4_Comparativa'!$C$24*12)*'1_Inputs'!$B$46+'4_Comparativa'!$C$40+'4_Comparativa'!$C$41+'4_Comparativa'!$C$42))*'1_Inputs'!$B$47))-'4_Comparativa'!$C$48</f>
        <v/>
      </c>
      <c r="D46" s="7">
        <f>C46/12</f>
        <v/>
      </c>
      <c r="E46">
        <f>IF(C46&gt;0,'4_Comparativa'!$C$32/C46,"N/A")</f>
        <v/>
      </c>
    </row>
    <row r="47">
      <c r="B47" s="7" t="n">
        <v>500</v>
      </c>
      <c r="C47" s="7">
        <f>((500*'4_Comparativa'!$C$24*12)-((500*'4_Comparativa'!$C$24*12)*'1_Inputs'!$B$42+(500*'4_Comparativa'!$C$24*12)*'1_Inputs'!$B$46+'4_Comparativa'!$C$40+'4_Comparativa'!$C$41+'4_Comparativa'!$C$42))-(MAX(0,((500*'4_Comparativa'!$C$24*12)-((500*'4_Comparativa'!$C$24*12)*'1_Inputs'!$B$42+(500*'4_Comparativa'!$C$24*12)*'1_Inputs'!$B$46+'4_Comparativa'!$C$40+'4_Comparativa'!$C$41+'4_Comparativa'!$C$42))*'1_Inputs'!$B$47))-'4_Comparativa'!$C$48</f>
        <v/>
      </c>
      <c r="D47" s="7">
        <f>C47/12</f>
        <v/>
      </c>
      <c r="E47">
        <f>IF(C47&gt;0,'4_Comparativa'!$C$32/C47,"N/A")</f>
        <v/>
      </c>
    </row>
    <row r="48">
      <c r="B48" s="7" t="n">
        <v>550</v>
      </c>
      <c r="C48" s="7">
        <f>((550*'4_Comparativa'!$C$24*12)-((550*'4_Comparativa'!$C$24*12)*'1_Inputs'!$B$42+(550*'4_Comparativa'!$C$24*12)*'1_Inputs'!$B$46+'4_Comparativa'!$C$40+'4_Comparativa'!$C$41+'4_Comparativa'!$C$42))-(MAX(0,((550*'4_Comparativa'!$C$24*12)-((550*'4_Comparativa'!$C$24*12)*'1_Inputs'!$B$42+(550*'4_Comparativa'!$C$24*12)*'1_Inputs'!$B$46+'4_Comparativa'!$C$40+'4_Comparativa'!$C$41+'4_Comparativa'!$C$42))*'1_Inputs'!$B$47))-'4_Comparativa'!$C$48</f>
        <v/>
      </c>
      <c r="D48" s="7">
        <f>C48/12</f>
        <v/>
      </c>
      <c r="E48">
        <f>IF(C48&gt;0,'4_Comparativa'!$C$32/C48,"N/A")</f>
        <v/>
      </c>
    </row>
    <row r="51">
      <c r="B51" s="5" t="inlineStr">
        <is>
          <t>Escenario B (275k)</t>
        </is>
      </c>
      <c r="C51" s="6" t="n"/>
      <c r="D51" s="6" t="n"/>
      <c r="E51" s="6" t="n"/>
    </row>
    <row r="52">
      <c r="B52" s="22" t="inlineStr">
        <is>
          <t>Renta €/unidad</t>
        </is>
      </c>
      <c r="C52" s="22" t="inlineStr">
        <is>
          <t>Cash flow anual (€)</t>
        </is>
      </c>
      <c r="D52" s="22" t="inlineStr">
        <is>
          <t>Cash flow mensual (€)</t>
        </is>
      </c>
      <c r="E52" s="22" t="inlineStr">
        <is>
          <t>Payback (años)</t>
        </is>
      </c>
    </row>
    <row r="53">
      <c r="B53" s="7" t="n">
        <v>300</v>
      </c>
      <c r="C53" s="7">
        <f>((300*'4_Comparativa'!$D$24*12)-((300*'4_Comparativa'!$D$24*12)*'1_Inputs'!$B$42+(300*'4_Comparativa'!$D$24*12)*'1_Inputs'!$B$46+'4_Comparativa'!$D$40+'4_Comparativa'!$D$41+'4_Comparativa'!$D$42))-(MAX(0,((300*'4_Comparativa'!$D$24*12)-((300*'4_Comparativa'!$D$24*12)*'1_Inputs'!$B$42+(300*'4_Comparativa'!$D$24*12)*'1_Inputs'!$B$46+'4_Comparativa'!$D$40+'4_Comparativa'!$D$41+'4_Comparativa'!$D$42))*'1_Inputs'!$B$47))-'4_Comparativa'!$D$48</f>
        <v/>
      </c>
      <c r="D53" s="7">
        <f>C53/12</f>
        <v/>
      </c>
      <c r="E53">
        <f>IF(C53&gt;0,'4_Comparativa'!$D$32/C53,"N/A")</f>
        <v/>
      </c>
    </row>
    <row r="54">
      <c r="B54" s="7" t="n">
        <v>350</v>
      </c>
      <c r="C54" s="7">
        <f>((350*'4_Comparativa'!$D$24*12)-((350*'4_Comparativa'!$D$24*12)*'1_Inputs'!$B$42+(350*'4_Comparativa'!$D$24*12)*'1_Inputs'!$B$46+'4_Comparativa'!$D$40+'4_Comparativa'!$D$41+'4_Comparativa'!$D$42))-(MAX(0,((350*'4_Comparativa'!$D$24*12)-((350*'4_Comparativa'!$D$24*12)*'1_Inputs'!$B$42+(350*'4_Comparativa'!$D$24*12)*'1_Inputs'!$B$46+'4_Comparativa'!$D$40+'4_Comparativa'!$D$41+'4_Comparativa'!$D$42))*'1_Inputs'!$B$47))-'4_Comparativa'!$D$48</f>
        <v/>
      </c>
      <c r="D54" s="7">
        <f>C54/12</f>
        <v/>
      </c>
      <c r="E54">
        <f>IF(C54&gt;0,'4_Comparativa'!$D$32/C54,"N/A")</f>
        <v/>
      </c>
    </row>
    <row r="55">
      <c r="B55" s="7" t="n">
        <v>400</v>
      </c>
      <c r="C55" s="7">
        <f>((400*'4_Comparativa'!$D$24*12)-((400*'4_Comparativa'!$D$24*12)*'1_Inputs'!$B$42+(400*'4_Comparativa'!$D$24*12)*'1_Inputs'!$B$46+'4_Comparativa'!$D$40+'4_Comparativa'!$D$41+'4_Comparativa'!$D$42))-(MAX(0,((400*'4_Comparativa'!$D$24*12)-((400*'4_Comparativa'!$D$24*12)*'1_Inputs'!$B$42+(400*'4_Comparativa'!$D$24*12)*'1_Inputs'!$B$46+'4_Comparativa'!$D$40+'4_Comparativa'!$D$41+'4_Comparativa'!$D$42))*'1_Inputs'!$B$47))-'4_Comparativa'!$D$48</f>
        <v/>
      </c>
      <c r="D55" s="7">
        <f>C55/12</f>
        <v/>
      </c>
      <c r="E55">
        <f>IF(C55&gt;0,'4_Comparativa'!$D$32/C55,"N/A")</f>
        <v/>
      </c>
    </row>
    <row r="56">
      <c r="B56" s="7" t="n">
        <v>450</v>
      </c>
      <c r="C56" s="7">
        <f>((450*'4_Comparativa'!$D$24*12)-((450*'4_Comparativa'!$D$24*12)*'1_Inputs'!$B$42+(450*'4_Comparativa'!$D$24*12)*'1_Inputs'!$B$46+'4_Comparativa'!$D$40+'4_Comparativa'!$D$41+'4_Comparativa'!$D$42))-(MAX(0,((450*'4_Comparativa'!$D$24*12)-((450*'4_Comparativa'!$D$24*12)*'1_Inputs'!$B$42+(450*'4_Comparativa'!$D$24*12)*'1_Inputs'!$B$46+'4_Comparativa'!$D$40+'4_Comparativa'!$D$41+'4_Comparativa'!$D$42))*'1_Inputs'!$B$47))-'4_Comparativa'!$D$48</f>
        <v/>
      </c>
      <c r="D56" s="7">
        <f>C56/12</f>
        <v/>
      </c>
      <c r="E56">
        <f>IF(C56&gt;0,'4_Comparativa'!$D$32/C56,"N/A")</f>
        <v/>
      </c>
    </row>
    <row r="57">
      <c r="B57" s="7" t="n">
        <v>500</v>
      </c>
      <c r="C57" s="7">
        <f>((500*'4_Comparativa'!$D$24*12)-((500*'4_Comparativa'!$D$24*12)*'1_Inputs'!$B$42+(500*'4_Comparativa'!$D$24*12)*'1_Inputs'!$B$46+'4_Comparativa'!$D$40+'4_Comparativa'!$D$41+'4_Comparativa'!$D$42))-(MAX(0,((500*'4_Comparativa'!$D$24*12)-((500*'4_Comparativa'!$D$24*12)*'1_Inputs'!$B$42+(500*'4_Comparativa'!$D$24*12)*'1_Inputs'!$B$46+'4_Comparativa'!$D$40+'4_Comparativa'!$D$41+'4_Comparativa'!$D$42))*'1_Inputs'!$B$47))-'4_Comparativa'!$D$48</f>
        <v/>
      </c>
      <c r="D57" s="7">
        <f>C57/12</f>
        <v/>
      </c>
      <c r="E57">
        <f>IF(C57&gt;0,'4_Comparativa'!$D$32/C57,"N/A")</f>
        <v/>
      </c>
    </row>
    <row r="58">
      <c r="B58" s="7" t="n">
        <v>550</v>
      </c>
      <c r="C58" s="7">
        <f>((550*'4_Comparativa'!$D$24*12)-((550*'4_Comparativa'!$D$24*12)*'1_Inputs'!$B$42+(550*'4_Comparativa'!$D$24*12)*'1_Inputs'!$B$46+'4_Comparativa'!$D$40+'4_Comparativa'!$D$41+'4_Comparativa'!$D$42))-(MAX(0,((550*'4_Comparativa'!$D$24*12)-((550*'4_Comparativa'!$D$24*12)*'1_Inputs'!$B$42+(550*'4_Comparativa'!$D$24*12)*'1_Inputs'!$B$46+'4_Comparativa'!$D$40+'4_Comparativa'!$D$41+'4_Comparativa'!$D$42))*'1_Inputs'!$B$47))-'4_Comparativa'!$D$48</f>
        <v/>
      </c>
      <c r="D58" s="7">
        <f>C58/12</f>
        <v/>
      </c>
      <c r="E58">
        <f>IF(C58&gt;0,'4_Comparativa'!$D$32/C58,"N/A")</f>
        <v/>
      </c>
    </row>
    <row r="61">
      <c r="B61" s="5" t="inlineStr">
        <is>
          <t>Escenario C (350k)</t>
        </is>
      </c>
      <c r="C61" s="6" t="n"/>
      <c r="D61" s="6" t="n"/>
      <c r="E61" s="6" t="n"/>
    </row>
    <row r="62">
      <c r="B62" s="22" t="inlineStr">
        <is>
          <t>Renta €/unidad</t>
        </is>
      </c>
      <c r="C62" s="22" t="inlineStr">
        <is>
          <t>Cash flow anual (€)</t>
        </is>
      </c>
      <c r="D62" s="22" t="inlineStr">
        <is>
          <t>Cash flow mensual (€)</t>
        </is>
      </c>
      <c r="E62" s="22" t="inlineStr">
        <is>
          <t>Payback (años)</t>
        </is>
      </c>
    </row>
    <row r="63">
      <c r="B63" s="7" t="n">
        <v>300</v>
      </c>
      <c r="C63" s="7">
        <f>((300*'4_Comparativa'!$E$24*12)-((300*'4_Comparativa'!$E$24*12)*'1_Inputs'!$B$42+(300*'4_Comparativa'!$E$24*12)*'1_Inputs'!$B$46+'4_Comparativa'!$E$40+'4_Comparativa'!$E$41+'4_Comparativa'!$E$42))-(MAX(0,((300*'4_Comparativa'!$E$24*12)-((300*'4_Comparativa'!$E$24*12)*'1_Inputs'!$B$42+(300*'4_Comparativa'!$E$24*12)*'1_Inputs'!$B$46+'4_Comparativa'!$E$40+'4_Comparativa'!$E$41+'4_Comparativa'!$E$42))*'1_Inputs'!$B$47))-'4_Comparativa'!$E$48</f>
        <v/>
      </c>
      <c r="D63" s="7">
        <f>C63/12</f>
        <v/>
      </c>
      <c r="E63">
        <f>IF(C63&gt;0,'4_Comparativa'!$E$32/C63,"N/A")</f>
        <v/>
      </c>
    </row>
    <row r="64">
      <c r="B64" s="7" t="n">
        <v>350</v>
      </c>
      <c r="C64" s="7">
        <f>((350*'4_Comparativa'!$E$24*12)-((350*'4_Comparativa'!$E$24*12)*'1_Inputs'!$B$42+(350*'4_Comparativa'!$E$24*12)*'1_Inputs'!$B$46+'4_Comparativa'!$E$40+'4_Comparativa'!$E$41+'4_Comparativa'!$E$42))-(MAX(0,((350*'4_Comparativa'!$E$24*12)-((350*'4_Comparativa'!$E$24*12)*'1_Inputs'!$B$42+(350*'4_Comparativa'!$E$24*12)*'1_Inputs'!$B$46+'4_Comparativa'!$E$40+'4_Comparativa'!$E$41+'4_Comparativa'!$E$42))*'1_Inputs'!$B$47))-'4_Comparativa'!$E$48</f>
        <v/>
      </c>
      <c r="D64" s="7">
        <f>C64/12</f>
        <v/>
      </c>
      <c r="E64">
        <f>IF(C64&gt;0,'4_Comparativa'!$E$32/C64,"N/A")</f>
        <v/>
      </c>
    </row>
    <row r="65">
      <c r="B65" s="7" t="n">
        <v>400</v>
      </c>
      <c r="C65" s="7">
        <f>((400*'4_Comparativa'!$E$24*12)-((400*'4_Comparativa'!$E$24*12)*'1_Inputs'!$B$42+(400*'4_Comparativa'!$E$24*12)*'1_Inputs'!$B$46+'4_Comparativa'!$E$40+'4_Comparativa'!$E$41+'4_Comparativa'!$E$42))-(MAX(0,((400*'4_Comparativa'!$E$24*12)-((400*'4_Comparativa'!$E$24*12)*'1_Inputs'!$B$42+(400*'4_Comparativa'!$E$24*12)*'1_Inputs'!$B$46+'4_Comparativa'!$E$40+'4_Comparativa'!$E$41+'4_Comparativa'!$E$42))*'1_Inputs'!$B$47))-'4_Comparativa'!$E$48</f>
        <v/>
      </c>
      <c r="D65" s="7">
        <f>C65/12</f>
        <v/>
      </c>
      <c r="E65">
        <f>IF(C65&gt;0,'4_Comparativa'!$E$32/C65,"N/A")</f>
        <v/>
      </c>
    </row>
    <row r="66">
      <c r="B66" s="7" t="n">
        <v>450</v>
      </c>
      <c r="C66" s="7">
        <f>((450*'4_Comparativa'!$E$24*12)-((450*'4_Comparativa'!$E$24*12)*'1_Inputs'!$B$42+(450*'4_Comparativa'!$E$24*12)*'1_Inputs'!$B$46+'4_Comparativa'!$E$40+'4_Comparativa'!$E$41+'4_Comparativa'!$E$42))-(MAX(0,((450*'4_Comparativa'!$E$24*12)-((450*'4_Comparativa'!$E$24*12)*'1_Inputs'!$B$42+(450*'4_Comparativa'!$E$24*12)*'1_Inputs'!$B$46+'4_Comparativa'!$E$40+'4_Comparativa'!$E$41+'4_Comparativa'!$E$42))*'1_Inputs'!$B$47))-'4_Comparativa'!$E$48</f>
        <v/>
      </c>
      <c r="D66" s="7">
        <f>C66/12</f>
        <v/>
      </c>
      <c r="E66">
        <f>IF(C66&gt;0,'4_Comparativa'!$E$32/C66,"N/A")</f>
        <v/>
      </c>
    </row>
    <row r="67">
      <c r="B67" s="7" t="n">
        <v>500</v>
      </c>
      <c r="C67" s="7">
        <f>((500*'4_Comparativa'!$E$24*12)-((500*'4_Comparativa'!$E$24*12)*'1_Inputs'!$B$42+(500*'4_Comparativa'!$E$24*12)*'1_Inputs'!$B$46+'4_Comparativa'!$E$40+'4_Comparativa'!$E$41+'4_Comparativa'!$E$42))-(MAX(0,((500*'4_Comparativa'!$E$24*12)-((500*'4_Comparativa'!$E$24*12)*'1_Inputs'!$B$42+(500*'4_Comparativa'!$E$24*12)*'1_Inputs'!$B$46+'4_Comparativa'!$E$40+'4_Comparativa'!$E$41+'4_Comparativa'!$E$42))*'1_Inputs'!$B$47))-'4_Comparativa'!$E$48</f>
        <v/>
      </c>
      <c r="D67" s="7">
        <f>C67/12</f>
        <v/>
      </c>
      <c r="E67">
        <f>IF(C67&gt;0,'4_Comparativa'!$E$32/C67,"N/A")</f>
        <v/>
      </c>
    </row>
    <row r="68">
      <c r="B68" s="7" t="n">
        <v>550</v>
      </c>
      <c r="C68" s="7">
        <f>((550*'4_Comparativa'!$E$24*12)-((550*'4_Comparativa'!$E$24*12)*'1_Inputs'!$B$42+(550*'4_Comparativa'!$E$24*12)*'1_Inputs'!$B$46+'4_Comparativa'!$E$40+'4_Comparativa'!$E$41+'4_Comparativa'!$E$42))-(MAX(0,((550*'4_Comparativa'!$E$24*12)-((550*'4_Comparativa'!$E$24*12)*'1_Inputs'!$B$42+(550*'4_Comparativa'!$E$24*12)*'1_Inputs'!$B$46+'4_Comparativa'!$E$40+'4_Comparativa'!$E$41+'4_Comparativa'!$E$42))*'1_Inputs'!$B$47))-'4_Comparativa'!$E$48</f>
        <v/>
      </c>
      <c r="D68" s="7">
        <f>C68/12</f>
        <v/>
      </c>
      <c r="E68">
        <f>IF(C68&gt;0,'4_Comparativa'!$E$32/C68,"N/A")</f>
        <v/>
      </c>
    </row>
  </sheetData>
  <mergeCells count="1">
    <mergeCell ref="B3: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2026-07-24T11:02:04Z</dcterms:created>
  <dcterms:modified xmlns:dcterms="http://purl.org/dc/terms/" xmlns:xsi="http://www.w3.org/2001/XMLSchema-instance" xsi:type="dcterms:W3CDTF">2026-07-24T11:02:04Z</dcterms:modified>
</cp:coreProperties>
</file>
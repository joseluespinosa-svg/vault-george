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sumen" sheetId="1" state="visible" r:id="rId1"/>
    <sheet xmlns:r="http://schemas.openxmlformats.org/officeDocument/2006/relationships" name="1_Inputs" sheetId="2" state="visible" r:id="rId2"/>
    <sheet xmlns:r="http://schemas.openxmlformats.org/officeDocument/2006/relationships" name="2_Escenarios" sheetId="3" state="visible" r:id="rId3"/>
    <sheet xmlns:r="http://schemas.openxmlformats.org/officeDocument/2006/relationships" name="3_Proyeccion" sheetId="4" state="visible" r:id="rId4"/>
    <sheet xmlns:r="http://schemas.openxmlformats.org/officeDocument/2006/relationships" name="4_Legal_Fiscal" sheetId="5" state="visible" r:id="rId5"/>
    <sheet xmlns:r="http://schemas.openxmlformats.org/officeDocument/2006/relationships" name="5_Oportunidades" sheetId="6" state="visible" r:id="rId6"/>
  </sheets>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7">
    <font>
      <name val="Calibri"/>
      <family val="2"/>
      <color theme="1"/>
      <sz val="11"/>
      <scheme val="minor"/>
    </font>
    <font>
      <b val="1"/>
      <sz val="14"/>
    </font>
    <font>
      <b val="1"/>
      <color rgb="00FFFFFF"/>
    </font>
    <font>
      <b val="1"/>
    </font>
    <font>
      <i val="1"/>
      <sz val="9"/>
    </font>
    <font>
      <i val="1"/>
    </font>
    <font>
      <b val="1"/>
      <color rgb="009C0006"/>
    </font>
  </fonts>
  <fills count="7">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EB9C"/>
        <bgColor rgb="00FFEB9C"/>
      </patternFill>
    </fill>
    <fill>
      <patternFill patternType="solid">
        <fgColor rgb="00C6E0B4"/>
        <bgColor rgb="00C6E0B4"/>
      </patternFill>
    </fill>
    <fill>
      <patternFill patternType="solid">
        <fgColor rgb="00D9D9D9"/>
        <bgColor rgb="00D9D9D9"/>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164" fontId="0" fillId="0" borderId="0" pivotButton="0" quotePrefix="0" xfId="0"/>
    <xf numFmtId="0" fontId="0" fillId="3" borderId="0" pivotButton="0" quotePrefix="0" xfId="0"/>
    <xf numFmtId="164" fontId="0" fillId="4" borderId="0" pivotButton="0" quotePrefix="0" xfId="0"/>
    <xf numFmtId="165" fontId="0" fillId="4" borderId="0" pivotButton="0" quotePrefix="0" xfId="0"/>
    <xf numFmtId="0" fontId="2" fillId="2" borderId="0" applyAlignment="1" pivotButton="0" quotePrefix="0" xfId="0">
      <alignment wrapText="1"/>
    </xf>
    <xf numFmtId="0" fontId="3" fillId="0" borderId="0" pivotButton="0" quotePrefix="0" xfId="0"/>
    <xf numFmtId="164" fontId="0" fillId="5" borderId="0" pivotButton="0" quotePrefix="0" xfId="0"/>
    <xf numFmtId="165" fontId="0" fillId="0" borderId="0" pivotButton="0" quotePrefix="0" xfId="0"/>
    <xf numFmtId="165" fontId="0" fillId="5" borderId="0" pivotButton="0" quotePrefix="0" xfId="0"/>
    <xf numFmtId="0" fontId="4" fillId="0" borderId="0" applyAlignment="1" pivotButton="0" quotePrefix="0" xfId="0">
      <alignment wrapText="1"/>
    </xf>
    <xf numFmtId="0" fontId="2" fillId="6" borderId="0" pivotButton="0" quotePrefix="0" xfId="0"/>
    <xf numFmtId="0" fontId="5" fillId="0" borderId="0" applyAlignment="1" pivotButton="0" quotePrefix="0" xfId="0">
      <alignment wrapText="1"/>
    </xf>
    <xf numFmtId="0" fontId="6" fillId="3" borderId="0" pivotButton="0" quotePrefix="0" xfId="0"/>
    <xf numFmtId="0" fontId="0" fillId="0" borderId="0" applyAlignment="1" pivotButton="0" quotePrefix="0" xfId="0">
      <alignment wrapText="1"/>
    </xf>
    <xf numFmtId="0" fontId="5" fillId="0" borderId="0" pivotButton="0" quotePrefix="0" xfId="0"/>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95" customWidth="1" min="1" max="1"/>
  </cols>
  <sheetData>
    <row r="1">
      <c r="A1" s="1" t="inlineStr">
        <is>
          <t>ESTRATEGIA INMOBILIARIA 2026-2036 — Resumen ejecutivo</t>
        </is>
      </c>
    </row>
    <row r="2">
      <c r="A2" s="18" t="inlineStr">
        <is>
          <t>6 escenarios del brief de José Luis (28/07/2026). Fórmulas vivas — cambia los inputs y esto se recalcula.</t>
        </is>
      </c>
    </row>
    <row r="4" ht="55" customHeight="1">
      <c r="A4" s="19" t="inlineStr">
        <is>
          <t>⚠️ Dato clave confirmado hoy: reforma San Antonio (1→3 dormitorios) = 3.000€ solo materiales, José Luis pone la mano de obra. Sin penalización por dejar el alquiler de Ibiza antes de 2033. Escenario 6 = rehipotecar SA para invertir en Alicante (no para comprar vivienda principal).</t>
        </is>
      </c>
    </row>
    <row r="5"/>
    <row r="6"/>
    <row r="8">
      <c r="A8" s="9" t="inlineStr">
        <is>
          <t>1. ¿Cuál genera más patrimonio a 20 años?</t>
        </is>
      </c>
    </row>
    <row r="9">
      <c r="A9">
        <f>INDEX({"E1";"E2";"E3";"E4";"E5";"E6"},MATCH(MAX('3_Proyeccion'!C26:H26),'3_Proyeccion'!C26:H26,0))&amp;" — "&amp;TEXT(MAX('3_Proyeccion'!C26:H26),"#,##0")&amp;"€"</f>
        <v/>
      </c>
    </row>
    <row r="11">
      <c r="A11" s="9" t="inlineStr">
        <is>
          <t>2. ¿Cuál genera más dinero neto mensual (cash flow)?</t>
        </is>
      </c>
    </row>
    <row r="12">
      <c r="A12">
        <f>INDEX({"E1";"E2";"E3";"E4";"E5";"E6"},MATCH(MAX('3_Proyeccion'!C4:H4),'3_Proyeccion'!C4:H4,0))&amp;" — "&amp;TEXT(MAX('3_Proyeccion'!C4:H4),"#,##0")&amp;"€/mes"</f>
        <v/>
      </c>
    </row>
    <row r="14">
      <c r="A14" s="9" t="inlineStr">
        <is>
          <t>3. ¿Cuál tiene menor riesgo?</t>
        </is>
      </c>
    </row>
    <row r="15">
      <c r="A15" s="17" t="inlineStr">
        <is>
          <t>E2 (vivir en San Antonio, no alquilar nada) — sin gestión de inquilinos, sin vacancia, sin depender de que Ibiza permita subarrendar, sin financiación nueva. Es la opción con cero riesgo operativo o legal.</t>
        </is>
      </c>
    </row>
    <row r="17">
      <c r="A17" s="9" t="inlineStr">
        <is>
          <t>4. ¿Cuál requiere menos trabajo?</t>
        </is>
      </c>
    </row>
    <row r="18">
      <c r="A18" s="17" t="inlineStr">
        <is>
          <t>E2, igual que en riesgo — cero gestión. El que más trabajo pide es E4 (habitaciones en SA con José Luis viviendo lejos, en Ibiza) y E3 (gestionar el subarriendo de Ibiza a distancia).</t>
        </is>
      </c>
    </row>
    <row r="20">
      <c r="A20" s="9" t="inlineStr">
        <is>
          <t>5. ¿Qué haría un inversor profesional?</t>
        </is>
      </c>
    </row>
    <row r="21" ht="60" customHeight="1">
      <c r="A21" s="17" t="inlineStr">
        <is>
          <t>Miraría rentabilidad ajustada a riesgo, no solo el número más alto. E5 (reformar SA, 3.000€ de inversión) tiene el mejor payback porque la inversión es mínima y la mano de obra es gratis — probablemente el movimiento más eficiente antes de decidir nada más grande. E6 depende de la financiación de Alicante, que ya sabemos que no es viable solo con nóminas (ver modelo de esta mañana) — un inversor profesional no lo ejecutaría sin resolver antes esa financiación.</t>
        </is>
      </c>
    </row>
    <row r="23">
      <c r="A23" s="9" t="inlineStr">
        <is>
          <t>6. ¿Qué oportunidades no estamos considerando?</t>
        </is>
      </c>
    </row>
    <row r="24">
      <c r="A24" s="17" t="inlineStr">
        <is>
          <t>Ver pestaña 5_Oportunidades: coliving, alquiler temporal/estacional (encaja bien con la estacionalidad de Ibiza), nómadas digitales en temporada baja, alquiler corporativo.</t>
        </is>
      </c>
    </row>
    <row r="26">
      <c r="A26" s="9" t="inlineStr">
        <is>
          <t>7. ¿Cuál es el plan óptimo para los próximos 24 meses?</t>
        </is>
      </c>
    </row>
    <row r="27" ht="80" customHeight="1">
      <c r="A27" s="17" t="inlineStr">
        <is>
          <t>Paso 1 (ya, barato y sin riesgo): hacer la reforma de SA (3.000€, tú pones mano de obra) — te abre la opción de habitaciones sin comprometerte a nada más. Paso 2: cuando tengas llaves de SA (tras desahucio), decide entre alquilar tradicional (E1) o habitaciones (E4) con el modelo ya construido esta mañana (SANANTONIO_TRAD_VS_HAB). Paso 3: NO muevas la ampliación de 230k a Alicante (E6) hasta resolver la financiación — sigue la regla del mes (tasación + FEIN primero). Vivir en SA (E2) solo tiene sentido si prefieres cero gestión sobre maximizar ingreso — es una decisión de estilo de vida, no solo de dinero.</t>
        </is>
      </c>
    </row>
  </sheetData>
  <mergeCells count="1">
    <mergeCell ref="A4:A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showGridLines="0" workbookViewId="0">
      <selection activeCell="A1" sqref="A1"/>
    </sheetView>
  </sheetViews>
  <sheetFormatPr baseColWidth="8" defaultRowHeight="15" outlineLevelCol="0"/>
  <cols>
    <col width="58" customWidth="1" min="1" max="1"/>
    <col width="20" customWidth="1" min="2" max="2"/>
  </cols>
  <sheetData>
    <row r="1">
      <c r="A1" s="1" t="inlineStr">
        <is>
          <t>ESTRATEGIA INMOBILIARIA 2026-2036 — Inputs</t>
        </is>
      </c>
    </row>
    <row r="2">
      <c r="A2" t="inlineStr">
        <is>
          <t>Rojo = dato real pendiente de confirmar. Amarillo = supuesto editable. Blanco = dato confirmado.</t>
        </is>
      </c>
    </row>
    <row r="4">
      <c r="A4" s="2" t="inlineStr">
        <is>
          <t>VIVIENDA IBIZA (alquilada, donde vive hoy)</t>
        </is>
      </c>
      <c r="B4" s="3" t="n"/>
      <c r="C4" s="3" t="n"/>
    </row>
    <row r="5">
      <c r="A5" t="inlineStr">
        <is>
          <t>Alquiler actual (€/mes)</t>
        </is>
      </c>
      <c r="B5" s="4" t="n">
        <v>2000</v>
      </c>
    </row>
    <row r="6">
      <c r="A6" t="inlineStr">
        <is>
          <t>Contrato vigente hasta</t>
        </is>
      </c>
      <c r="B6" t="inlineStr">
        <is>
          <t>2033</t>
        </is>
      </c>
    </row>
    <row r="7">
      <c r="A7" t="inlineStr">
        <is>
          <t>¿Permite subarrendar habitaciones? (confirmar documentalmente)</t>
        </is>
      </c>
      <c r="B7" s="5" t="inlineStr">
        <is>
          <t>SÍ (sin confirmar por escrito)</t>
        </is>
      </c>
    </row>
    <row r="8">
      <c r="A8" t="inlineStr">
        <is>
          <t>Habitación 1 subarriendo (€/mes)</t>
        </is>
      </c>
      <c r="B8" s="6" t="n">
        <v>950</v>
      </c>
    </row>
    <row r="9">
      <c r="A9" t="inlineStr">
        <is>
          <t>Habitación 2 subarriendo (€/mes)</t>
        </is>
      </c>
      <c r="B9" s="6" t="n">
        <v>850</v>
      </c>
    </row>
    <row r="10">
      <c r="A10" t="inlineStr">
        <is>
          <t>Habitación 3 subarriendo (€/mes)</t>
        </is>
      </c>
      <c r="B10" s="6" t="n">
        <v>800</v>
      </c>
    </row>
    <row r="11">
      <c r="A11" t="inlineStr">
        <is>
          <t>Gastos gestión/suministros extra si subarrienda (€/mes)</t>
        </is>
      </c>
      <c r="B11" s="6" t="n">
        <v>150</v>
      </c>
    </row>
    <row r="13">
      <c r="A13" s="2" t="inlineStr">
        <is>
          <t>PISO SAN ANTONIO (propiedad)</t>
        </is>
      </c>
      <c r="B13" s="3" t="n"/>
      <c r="C13" s="3" t="n"/>
    </row>
    <row r="14">
      <c r="A14" t="inlineStr">
        <is>
          <t>Hipoteca (€/mes)</t>
        </is>
      </c>
      <c r="B14" s="4" t="n">
        <v>360</v>
      </c>
    </row>
    <row r="15">
      <c r="A15" t="inlineStr">
        <is>
          <t>Valor estimado (BBVA, no oficial) (€)</t>
        </is>
      </c>
      <c r="B15" s="6" t="n">
        <v>350000</v>
      </c>
    </row>
    <row r="16">
      <c r="A16" t="inlineStr">
        <is>
          <t>Superficie (m²)</t>
        </is>
      </c>
      <c r="B16" t="n">
        <v>68</v>
      </c>
    </row>
    <row r="17">
      <c r="A17" t="inlineStr">
        <is>
          <t>Alquiler completo, 1 dormitorio (€/mes bruto)</t>
        </is>
      </c>
      <c r="B17" s="4" t="n">
        <v>1850</v>
      </c>
    </row>
    <row r="18">
      <c r="A18" t="inlineStr">
        <is>
          <t>Vacancia anual tradicional (%)</t>
        </is>
      </c>
      <c r="B18" s="7" t="n">
        <v>0.05</v>
      </c>
    </row>
    <row r="19">
      <c r="A19" t="inlineStr">
        <is>
          <t>Seguro impago tradicional (% renta anual)</t>
        </is>
      </c>
      <c r="B19" s="7" t="n">
        <v>0.035</v>
      </c>
    </row>
    <row r="20">
      <c r="A20" t="inlineStr">
        <is>
          <t>Coste reforma redistribución a 3 dormitorios (€) — confirmado José Luis: 1 tabique + 2 puertas, mano de obra propia, solo materiales</t>
        </is>
      </c>
      <c r="B20" s="4" t="n">
        <v>3000</v>
      </c>
    </row>
    <row r="21">
      <c r="A21" t="inlineStr">
        <is>
          <t>Habitación grande tras reforma (€/mes)</t>
        </is>
      </c>
      <c r="B21" s="6" t="n">
        <v>800</v>
      </c>
    </row>
    <row r="22">
      <c r="A22" t="inlineStr">
        <is>
          <t>Habitación pequeña 1 tras reforma (€/mes)</t>
        </is>
      </c>
      <c r="B22" s="6" t="n">
        <v>650</v>
      </c>
    </row>
    <row r="23">
      <c r="A23" t="inlineStr">
        <is>
          <t>Habitación pequeña 2 tras reforma (€/mes)</t>
        </is>
      </c>
      <c r="B23" s="6" t="n">
        <v>650</v>
      </c>
    </row>
    <row r="24">
      <c r="A24" t="inlineStr">
        <is>
          <t>Vacancia anual habitaciones (%, estacional Ibiza)</t>
        </is>
      </c>
      <c r="B24" s="7" t="n">
        <v>0.2</v>
      </c>
    </row>
    <row r="25">
      <c r="A25" t="inlineStr">
        <is>
          <t>Gestión habitaciones — % sobre renta bruta (José Luis no está allí)</t>
        </is>
      </c>
      <c r="B25" s="7" t="n">
        <v>0.15</v>
      </c>
    </row>
    <row r="26">
      <c r="A26" t="inlineStr">
        <is>
          <t>Suministros habitaciones a cargo propietario (€/mes)</t>
        </is>
      </c>
      <c r="B26" s="6" t="n">
        <v>175</v>
      </c>
    </row>
    <row r="27">
      <c r="A27" t="inlineStr">
        <is>
          <t>Incremento de tasación estimado tras reforma (%)</t>
        </is>
      </c>
      <c r="B27" s="7" t="n">
        <v>0.1</v>
      </c>
    </row>
    <row r="29">
      <c r="A29" s="2" t="inlineStr">
        <is>
          <t>AMPLIACIÓN HIPOTECA SAN ANTONIO (para comprar otra vivienda)</t>
        </is>
      </c>
      <c r="B29" s="3" t="n"/>
      <c r="C29" s="3" t="n"/>
    </row>
    <row r="30">
      <c r="A30" t="inlineStr">
        <is>
          <t>Importe ampliación (€)</t>
        </is>
      </c>
      <c r="B30" s="4" t="n">
        <v>230000</v>
      </c>
    </row>
    <row r="31">
      <c r="A31" t="inlineStr">
        <is>
          <t>Cuota mensual ampliación (€) — ver modelo Alicante ya calculado</t>
        </is>
      </c>
      <c r="B31" s="4" t="n">
        <v>1151.43</v>
      </c>
    </row>
    <row r="32">
      <c r="A32" t="inlineStr">
        <is>
          <t>Liquidez neta disponible (€) — ver modelo Alicante ya calculado</t>
        </is>
      </c>
      <c r="B32" s="4" t="n">
        <v>165810</v>
      </c>
    </row>
    <row r="34">
      <c r="A34" s="2" t="inlineStr">
        <is>
          <t>COMUNES / FISCALES</t>
        </is>
      </c>
      <c r="B34" s="3" t="n"/>
      <c r="C34" s="3" t="n"/>
    </row>
    <row r="35">
      <c r="A35" t="inlineStr">
        <is>
          <t>IRPF marginal aplicable a renta neta (%)</t>
        </is>
      </c>
      <c r="B35" s="7" t="n">
        <v>0.3</v>
      </c>
    </row>
    <row r="36">
      <c r="A36" t="inlineStr">
        <is>
          <t>Revalorización anual inmuebles asumida (%)</t>
        </is>
      </c>
      <c r="B36" s="7" t="n">
        <v>0.03</v>
      </c>
    </row>
    <row r="37">
      <c r="A37" t="inlineStr">
        <is>
          <t>Tipo de descuento para VAN (%)</t>
        </is>
      </c>
      <c r="B37" s="7" t="n">
        <v>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28"/>
  <sheetViews>
    <sheetView showGridLines="0" workbookViewId="0">
      <selection activeCell="A1" sqref="A1"/>
    </sheetView>
  </sheetViews>
  <sheetFormatPr baseColWidth="8" defaultRowHeight="15" outlineLevelCol="0"/>
  <cols>
    <col width="2" customWidth="1" min="1" max="1"/>
    <col width="55" customWidth="1" min="2" max="2"/>
    <col width="20" customWidth="1" min="3" max="3"/>
    <col width="20" customWidth="1" min="4" max="4"/>
    <col width="20" customWidth="1" min="5" max="5"/>
    <col width="20" customWidth="1" min="6" max="6"/>
    <col width="20" customWidth="1" min="7" max="7"/>
    <col width="20" customWidth="1" min="8" max="8"/>
  </cols>
  <sheetData>
    <row r="1">
      <c r="B1" s="1" t="inlineStr">
        <is>
          <t>6 ESCENARIOS — Cash flow mensual</t>
        </is>
      </c>
    </row>
    <row r="3">
      <c r="B3" s="2" t="inlineStr">
        <is>
          <t>Concepto</t>
        </is>
      </c>
      <c r="C3" s="8" t="inlineStr">
        <is>
          <t>E1: Ibiza + alquilar SA tradicional</t>
        </is>
      </c>
      <c r="D3" s="8" t="inlineStr">
        <is>
          <t>E2: Mudarse a SA, sin alquilar</t>
        </is>
      </c>
      <c r="E3" s="8" t="inlineStr">
        <is>
          <t>E3: Mudarse a SA + subarrendar Ibiza</t>
        </is>
      </c>
      <c r="F3" s="8" t="inlineStr">
        <is>
          <t>E4: Ibiza + alquilar SA habitaciones</t>
        </is>
      </c>
      <c r="G3" s="8" t="inlineStr">
        <is>
          <t>E5: Reformar SA antes de rehipotecar</t>
        </is>
      </c>
      <c r="H3" s="8" t="inlineStr">
        <is>
          <t>E6: Rehipotecar SA para comprar otra vivienda</t>
        </is>
      </c>
    </row>
    <row r="4">
      <c r="B4" t="inlineStr">
        <is>
          <t>Ingreso San Antonio tradicional, renta bruta (€/mes)</t>
        </is>
      </c>
      <c r="C4" s="4">
        <f>'1_Inputs'!$B$17</f>
        <v/>
      </c>
      <c r="D4" s="4" t="n">
        <v>0</v>
      </c>
      <c r="E4" s="4" t="n">
        <v>0</v>
      </c>
      <c r="F4" s="4">
        <f>F14</f>
        <v/>
      </c>
      <c r="G4" s="4">
        <f>F14</f>
        <v/>
      </c>
      <c r="H4" s="4" t="n">
        <v>0</v>
      </c>
    </row>
    <row r="5">
      <c r="B5" t="inlineStr">
        <is>
          <t>Vacancia + seguro impago (€/mes)</t>
        </is>
      </c>
      <c r="C5" s="4">
        <f>C4*('1_Inputs'!$B$18+'1_Inputs'!$B$19)</f>
        <v/>
      </c>
      <c r="D5" s="4" t="n">
        <v>0</v>
      </c>
      <c r="E5" s="4" t="n">
        <v>0</v>
      </c>
      <c r="F5" s="4" t="n">
        <v>0</v>
      </c>
      <c r="G5" t="n">
        <v>0</v>
      </c>
      <c r="H5" t="n">
        <v>0</v>
      </c>
    </row>
    <row r="6">
      <c r="B6" t="inlineStr">
        <is>
          <t>Ingreso neto San Antonio (€/mes)</t>
        </is>
      </c>
      <c r="C6" s="4">
        <f>C4-C5</f>
        <v/>
      </c>
      <c r="D6" s="4" t="n">
        <v>0</v>
      </c>
      <c r="E6" s="4" t="n">
        <v>0</v>
      </c>
      <c r="F6" s="4">
        <f>F4</f>
        <v/>
      </c>
      <c r="G6" s="4">
        <f>G4</f>
        <v/>
      </c>
      <c r="H6" t="n">
        <v>0</v>
      </c>
    </row>
    <row r="7">
      <c r="B7" t="inlineStr">
        <is>
          <t>Alquiler Ibiza (€/mes)</t>
        </is>
      </c>
      <c r="C7" s="4">
        <f>-'1_Inputs'!$B$5</f>
        <v/>
      </c>
      <c r="D7" s="4" t="n">
        <v>0</v>
      </c>
      <c r="E7" s="4">
        <f>-'1_Inputs'!$B$5</f>
        <v/>
      </c>
      <c r="F7" s="4">
        <f>-'1_Inputs'!$B$5</f>
        <v/>
      </c>
      <c r="G7" s="4">
        <f>-'1_Inputs'!$B$5</f>
        <v/>
      </c>
      <c r="H7">
        <f>H26</f>
        <v/>
      </c>
    </row>
    <row r="8">
      <c r="B8" t="inlineStr">
        <is>
          <t>Hipoteca San Antonio (€/mes)</t>
        </is>
      </c>
      <c r="C8" s="4">
        <f>-'1_Inputs'!$B$14</f>
        <v/>
      </c>
      <c r="D8" s="4">
        <f>-'1_Inputs'!$B$14</f>
        <v/>
      </c>
      <c r="E8" s="4">
        <f>-'1_Inputs'!$B$14</f>
        <v/>
      </c>
      <c r="F8" s="4">
        <f>-'1_Inputs'!$B$14</f>
        <v/>
      </c>
      <c r="G8" s="4">
        <f>-'1_Inputs'!$B$14</f>
        <v/>
      </c>
      <c r="H8" s="4" t="n">
        <v>0</v>
      </c>
    </row>
    <row r="9">
      <c r="B9" s="9" t="inlineStr">
        <is>
          <t>CASH FLOW MENSUAL E1 (€)</t>
        </is>
      </c>
      <c r="C9" s="10">
        <f>C6+C7+C8</f>
        <v/>
      </c>
      <c r="D9" s="10">
        <f>D6+D7+D8</f>
        <v/>
      </c>
      <c r="E9" s="10">
        <f>E6+E7+E8+('1_Inputs'!$B$8+'1_Inputs'!$B$9+'1_Inputs'!$B$10-'1_Inputs'!$B$11)</f>
        <v/>
      </c>
      <c r="F9" s="10">
        <f>F6+F7+F8</f>
        <v/>
      </c>
      <c r="G9" s="10">
        <f>G6+G7+G8</f>
        <v/>
      </c>
      <c r="H9" s="10">
        <f>H25-H24+H7</f>
        <v/>
      </c>
    </row>
    <row r="11">
      <c r="B11" s="9" t="inlineStr">
        <is>
          <t>— Detalle Escenario 4 (habitaciones SA) —</t>
        </is>
      </c>
    </row>
    <row r="12">
      <c r="B12" t="inlineStr">
        <is>
          <t>Renta bruta habitaciones SA (€/mes)</t>
        </is>
      </c>
      <c r="F12" s="4">
        <f>'1_Inputs'!$B$21+'1_Inputs'!$B$22+'1_Inputs'!$B$23</f>
        <v/>
      </c>
    </row>
    <row r="13">
      <c r="B13" t="inlineStr">
        <is>
          <t>Vacancia + gestión + suministros (€/mes)</t>
        </is>
      </c>
      <c r="F13" s="4">
        <f>F12*'1_Inputs'!$B$24+F12*'1_Inputs'!$B$25+'1_Inputs'!$B$26</f>
        <v/>
      </c>
    </row>
    <row r="14">
      <c r="B14" t="inlineStr">
        <is>
          <t>Ingreso neto habitaciones SA (€/mes)</t>
        </is>
      </c>
      <c r="F14" s="4">
        <f>F12-F13</f>
        <v/>
      </c>
    </row>
    <row r="16">
      <c r="B16" s="9" t="inlineStr">
        <is>
          <t>— Detalle Escenario 5 (reforma como inversión) —</t>
        </is>
      </c>
    </row>
    <row r="17">
      <c r="B17" t="inlineStr">
        <is>
          <t>Coste reforma (€)</t>
        </is>
      </c>
      <c r="G17" s="4">
        <f>'1_Inputs'!$B$20</f>
        <v/>
      </c>
    </row>
    <row r="18">
      <c r="B18" t="inlineStr">
        <is>
          <t>Valor SA antes (€)</t>
        </is>
      </c>
      <c r="G18" s="4">
        <f>'1_Inputs'!$B$15</f>
        <v/>
      </c>
    </row>
    <row r="19">
      <c r="B19" t="inlineStr">
        <is>
          <t>Incremento tasación tras reforma (%)</t>
        </is>
      </c>
      <c r="G19" s="11">
        <f>'1_Inputs'!$B$27</f>
        <v/>
      </c>
    </row>
    <row r="20">
      <c r="B20" t="inlineStr">
        <is>
          <t>Incremento de valor (€)</t>
        </is>
      </c>
      <c r="G20" s="4">
        <f>G18*G19</f>
        <v/>
      </c>
    </row>
    <row r="21">
      <c r="B21" s="9" t="inlineStr">
        <is>
          <t>ROI de la reforma sobre tasación (%)</t>
        </is>
      </c>
      <c r="G21" s="12">
        <f>G20/G17</f>
        <v/>
      </c>
    </row>
    <row r="23">
      <c r="B23" s="9" t="inlineStr">
        <is>
          <t>— Detalle Escenario 6 (rehipotecar SA 230k → invertir en edificio Alicante, mejor escenario) —</t>
        </is>
      </c>
    </row>
    <row r="24">
      <c r="B24" t="inlineStr">
        <is>
          <t>Cuota ampliación SA 230k (€/mes)</t>
        </is>
      </c>
      <c r="H24" s="4">
        <f>'1_Inputs'!$B$31</f>
        <v/>
      </c>
    </row>
    <row r="25">
      <c r="B25" t="inlineStr">
        <is>
          <t>Cash flow neto mensual edificio Alicante (mejor escenario, ya calculado esta mañana en modelo Alicante, tras su propia hipoteca) (€/mes)</t>
        </is>
      </c>
      <c r="H25" s="6" t="n">
        <v>911.71</v>
      </c>
    </row>
    <row r="26">
      <c r="B26" t="inlineStr">
        <is>
          <t>Sigue pagando alquiler Ibiza igual (no se muda) (€/mes)</t>
        </is>
      </c>
      <c r="H26" s="4">
        <f>-'1_Inputs'!$B$5</f>
        <v/>
      </c>
    </row>
    <row r="28">
      <c r="H28" s="13" t="inlineStr">
        <is>
          <t>Nota: sigue viviendo en Ibiza (mismo alquiler), no compra vivienda principal. La inversión es en Alicante, financiada con la rehipoteca de SA. Cifra de cash flow Alicante viene del modelo ALICANTE_MODELO_2026-07-24.xlsx, Escenario C, ya construido esta mañana — no se repite el cálculo completo aquí.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M42"/>
  <sheetViews>
    <sheetView showGridLines="0" workbookViewId="0">
      <selection activeCell="A1" sqref="A1"/>
    </sheetView>
  </sheetViews>
  <sheetFormatPr baseColWidth="8" defaultRowHeight="15" outlineLevelCol="0"/>
  <cols>
    <col width="2" customWidth="1" min="1" max="1"/>
    <col width="55" customWidth="1" min="2" max="2"/>
    <col width="20" customWidth="1" min="3" max="3"/>
    <col width="20" customWidth="1" min="4" max="4"/>
    <col width="20" customWidth="1" min="5" max="5"/>
    <col width="20" customWidth="1" min="6" max="6"/>
    <col width="20" customWidth="1" min="7" max="7"/>
    <col width="20" customWidth="1" min="8" max="8"/>
  </cols>
  <sheetData>
    <row r="1">
      <c r="B1" s="1" t="inlineStr">
        <is>
          <t>PROYECCIÓN 5 / 10 / 20 AÑOS — Cash flow acumulado + patrimonio</t>
        </is>
      </c>
    </row>
    <row r="3">
      <c r="B3" s="2" t="inlineStr">
        <is>
          <t>Concepto</t>
        </is>
      </c>
      <c r="C3" s="8" t="inlineStr">
        <is>
          <t>E1: Ibiza + alquilar SA tradicional</t>
        </is>
      </c>
      <c r="D3" s="8" t="inlineStr">
        <is>
          <t>E2: Mudarse a SA, sin alquilar</t>
        </is>
      </c>
      <c r="E3" s="8" t="inlineStr">
        <is>
          <t>E3: Mudarse a SA + subarrendar Ibiza</t>
        </is>
      </c>
      <c r="F3" s="8" t="inlineStr">
        <is>
          <t>E4: Ibiza + alquilar SA habitaciones</t>
        </is>
      </c>
      <c r="G3" s="8" t="inlineStr">
        <is>
          <t>E5: Reformar SA antes de rehipotecar</t>
        </is>
      </c>
      <c r="H3" s="8" t="inlineStr">
        <is>
          <t>E6: Rehipotecar SA para comprar otra vivienda</t>
        </is>
      </c>
    </row>
    <row r="4">
      <c r="B4" t="inlineStr">
        <is>
          <t>Cash flow mensual (€) — ref. 2_Escenarios</t>
        </is>
      </c>
      <c r="C4" s="4">
        <f>'2_Escenarios'!C9</f>
        <v/>
      </c>
      <c r="D4" s="4">
        <f>'2_Escenarios'!D9</f>
        <v/>
      </c>
      <c r="E4" s="4">
        <f>'2_Escenarios'!E9</f>
        <v/>
      </c>
      <c r="F4" s="4">
        <f>'2_Escenarios'!F9</f>
        <v/>
      </c>
      <c r="G4" s="4">
        <f>'2_Escenarios'!G9</f>
        <v/>
      </c>
      <c r="H4" s="4">
        <f>'2_Escenarios'!H9</f>
        <v/>
      </c>
    </row>
    <row r="5">
      <c r="B5" t="inlineStr">
        <is>
          <t>Cash flow anual (€)</t>
        </is>
      </c>
      <c r="C5" s="4">
        <f>C4*12</f>
        <v/>
      </c>
      <c r="D5" s="4">
        <f>D4*12</f>
        <v/>
      </c>
      <c r="E5" s="4">
        <f>E4*12</f>
        <v/>
      </c>
      <c r="F5" s="4">
        <f>F4*12</f>
        <v/>
      </c>
      <c r="G5" s="4">
        <f>G4*12</f>
        <v/>
      </c>
      <c r="H5" s="4">
        <f>H4*12</f>
        <v/>
      </c>
    </row>
    <row r="7">
      <c r="B7" s="14" t="inlineStr">
        <is>
          <t>CASH FLOW ACUMULADO (sin revalorización)</t>
        </is>
      </c>
    </row>
    <row r="8">
      <c r="B8" t="inlineStr">
        <is>
          <t>Acumulado 5 años (€)</t>
        </is>
      </c>
      <c r="C8" s="4">
        <f>C5*5</f>
        <v/>
      </c>
      <c r="D8" s="4">
        <f>D5*5</f>
        <v/>
      </c>
      <c r="E8" s="4">
        <f>E5*5</f>
        <v/>
      </c>
      <c r="F8" s="4">
        <f>F5*5</f>
        <v/>
      </c>
      <c r="G8" s="4">
        <f>G5*5</f>
        <v/>
      </c>
      <c r="H8" s="4">
        <f>H5*5</f>
        <v/>
      </c>
    </row>
    <row r="9">
      <c r="B9" t="inlineStr">
        <is>
          <t>Acumulado 10 años (€)</t>
        </is>
      </c>
      <c r="C9" s="4">
        <f>C5*10</f>
        <v/>
      </c>
      <c r="D9" s="4">
        <f>D5*10</f>
        <v/>
      </c>
      <c r="E9" s="4">
        <f>E5*10</f>
        <v/>
      </c>
      <c r="F9" s="4">
        <f>F5*10</f>
        <v/>
      </c>
      <c r="G9" s="4">
        <f>G5*10</f>
        <v/>
      </c>
      <c r="H9" s="4">
        <f>H5*10</f>
        <v/>
      </c>
    </row>
    <row r="10">
      <c r="B10" t="inlineStr">
        <is>
          <t>Acumulado 20 años (€)</t>
        </is>
      </c>
      <c r="C10" s="4">
        <f>C5*20</f>
        <v/>
      </c>
      <c r="D10" s="4">
        <f>D5*20</f>
        <v/>
      </c>
      <c r="E10" s="4">
        <f>E5*20</f>
        <v/>
      </c>
      <c r="F10" s="4">
        <f>F5*20</f>
        <v/>
      </c>
      <c r="G10" s="4">
        <f>G5*20</f>
        <v/>
      </c>
      <c r="H10" s="4">
        <f>H5*20</f>
        <v/>
      </c>
    </row>
    <row r="12">
      <c r="B12" s="14" t="inlineStr">
        <is>
          <t>REVALORIZACIÓN INMUEBLES (patrimonio no realizado)</t>
        </is>
      </c>
    </row>
    <row r="13">
      <c r="B13" t="inlineStr">
        <is>
          <t>Valor San Antonio hoy (€) — E6 usa valor tras ampliación, mismo inmueble</t>
        </is>
      </c>
      <c r="C13" s="4">
        <f>'1_Inputs'!$B$15</f>
        <v/>
      </c>
      <c r="D13" s="4">
        <f>'1_Inputs'!$B$15</f>
        <v/>
      </c>
      <c r="E13" s="4">
        <f>'1_Inputs'!$B$15</f>
        <v/>
      </c>
      <c r="F13" s="4">
        <f>'1_Inputs'!$B$15</f>
        <v/>
      </c>
      <c r="G13" s="4">
        <f>'1_Inputs'!$B$15</f>
        <v/>
      </c>
      <c r="H13" s="4">
        <f>'1_Inputs'!$B$15</f>
        <v/>
      </c>
    </row>
    <row r="14">
      <c r="B14" t="inlineStr">
        <is>
          <t>Revalorización anual asumida (%)</t>
        </is>
      </c>
      <c r="C14" s="11">
        <f>'1_Inputs'!$B$36</f>
        <v/>
      </c>
      <c r="D14" s="11">
        <f>'1_Inputs'!$B$36</f>
        <v/>
      </c>
      <c r="E14" s="11">
        <f>'1_Inputs'!$B$36</f>
        <v/>
      </c>
      <c r="F14" s="11">
        <f>'1_Inputs'!$B$36</f>
        <v/>
      </c>
      <c r="G14" s="11">
        <f>'1_Inputs'!$B$36</f>
        <v/>
      </c>
      <c r="H14" s="11">
        <f>'1_Inputs'!$B$36</f>
        <v/>
      </c>
    </row>
    <row r="15">
      <c r="B15" t="inlineStr">
        <is>
          <t>Ganancia patrimonial no realizada, San Antonio, 5 años (€)</t>
        </is>
      </c>
      <c r="C15" s="4">
        <f>C13*((1+C14)^5-1)</f>
        <v/>
      </c>
      <c r="D15" s="4">
        <f>D13*((1+D14)^5-1)</f>
        <v/>
      </c>
      <c r="E15" s="4">
        <f>E13*((1+E14)^5-1)</f>
        <v/>
      </c>
      <c r="F15" s="4">
        <f>F13*((1+F14)^5-1)</f>
        <v/>
      </c>
      <c r="G15" s="4">
        <f>G13*((1+G14)^5-1)</f>
        <v/>
      </c>
      <c r="H15" s="4">
        <f>H13*((1+H14)^5-1)</f>
        <v/>
      </c>
    </row>
    <row r="16">
      <c r="B16" t="inlineStr">
        <is>
          <t>Ganancia patrimonial no realizada, San Antonio, 10 años (€)</t>
        </is>
      </c>
      <c r="C16" s="4">
        <f>C13*((1+C14)^10-1)</f>
        <v/>
      </c>
      <c r="D16" s="4">
        <f>D13*((1+D14)^10-1)</f>
        <v/>
      </c>
      <c r="E16" s="4">
        <f>E13*((1+E14)^10-1)</f>
        <v/>
      </c>
      <c r="F16" s="4">
        <f>F13*((1+F14)^10-1)</f>
        <v/>
      </c>
      <c r="G16" s="4">
        <f>G13*((1+G14)^10-1)</f>
        <v/>
      </c>
      <c r="H16" s="4">
        <f>H13*((1+H14)^10-1)</f>
        <v/>
      </c>
    </row>
    <row r="17">
      <c r="B17" t="inlineStr">
        <is>
          <t>Ganancia patrimonial no realizada, San Antonio, 20 años (€)</t>
        </is>
      </c>
      <c r="C17" s="4">
        <f>C13*((1+C14)^20-1)</f>
        <v/>
      </c>
      <c r="D17" s="4">
        <f>D13*((1+D14)^20-1)</f>
        <v/>
      </c>
      <c r="E17" s="4">
        <f>E13*((1+E14)^20-1)</f>
        <v/>
      </c>
      <c r="F17" s="4">
        <f>F13*((1+F14)^20-1)</f>
        <v/>
      </c>
      <c r="G17" s="4">
        <f>G13*((1+G14)^20-1)</f>
        <v/>
      </c>
      <c r="H17" s="4">
        <f>H13*((1+H14)^20-1)</f>
        <v/>
      </c>
    </row>
    <row r="18">
      <c r="B18" t="inlineStr">
        <is>
          <t>Extra E5: incremento valor por reforma (€, una vez, ya en el año en que se hace)</t>
        </is>
      </c>
      <c r="G18" s="4">
        <f>'2_Escenarios'!G20</f>
        <v/>
      </c>
    </row>
    <row r="19">
      <c r="B19" t="inlineStr">
        <is>
          <t xml:space="preserve">  a 5 años (edificio Alicante 350k, no vivienda principal)</t>
        </is>
      </c>
      <c r="H19" s="4">
        <f>350000*((1+'1_Inputs'!$B$36)^5-1)</f>
        <v/>
      </c>
    </row>
    <row r="20">
      <c r="B20" t="inlineStr">
        <is>
          <t xml:space="preserve">  a 10 años (edificio Alicante 350k)</t>
        </is>
      </c>
      <c r="H20" s="4">
        <f>350000*((1+'1_Inputs'!$B$36)^10-1)</f>
        <v/>
      </c>
    </row>
    <row r="21">
      <c r="B21" t="inlineStr">
        <is>
          <t xml:space="preserve">  a 20 años (edificio Alicante 350k)</t>
        </is>
      </c>
      <c r="H21" s="4">
        <f>350000*((1+'1_Inputs'!$B$36)^20-1)</f>
        <v/>
      </c>
    </row>
    <row r="23">
      <c r="B23" s="14" t="inlineStr">
        <is>
          <t>PATRIMONIO TOTAL GENERADO (cash flow acumulado + revalorización)</t>
        </is>
      </c>
    </row>
    <row r="24">
      <c r="B24" s="9" t="inlineStr">
        <is>
          <t>PATRIMONIO A 5 AÑOS (€)</t>
        </is>
      </c>
      <c r="C24" s="10">
        <f>C8+C15</f>
        <v/>
      </c>
      <c r="D24" s="10">
        <f>D8+D15</f>
        <v/>
      </c>
      <c r="E24" s="10">
        <f>E8+E15</f>
        <v/>
      </c>
      <c r="F24" s="10">
        <f>F8+F15</f>
        <v/>
      </c>
      <c r="G24" s="10">
        <f>G8+G15+G18</f>
        <v/>
      </c>
      <c r="H24" s="10">
        <f>H8+H15+H19</f>
        <v/>
      </c>
    </row>
    <row r="25">
      <c r="B25" s="9" t="inlineStr">
        <is>
          <t>PATRIMONIO A 10 AÑOS (€)</t>
        </is>
      </c>
      <c r="C25" s="10">
        <f>C9+C16</f>
        <v/>
      </c>
      <c r="D25" s="10">
        <f>D9+D16</f>
        <v/>
      </c>
      <c r="E25" s="10">
        <f>E9+E16</f>
        <v/>
      </c>
      <c r="F25" s="10">
        <f>F9+F16</f>
        <v/>
      </c>
      <c r="G25" s="10">
        <f>G9+G16+G18</f>
        <v/>
      </c>
      <c r="H25" s="10">
        <f>H9+H16+H20</f>
        <v/>
      </c>
    </row>
    <row r="26">
      <c r="B26" s="9" t="inlineStr">
        <is>
          <t>PATRIMONIO A 20 AÑOS (€)</t>
        </is>
      </c>
      <c r="C26" s="10">
        <f>C10+C17</f>
        <v/>
      </c>
      <c r="D26" s="10">
        <f>D10+D17</f>
        <v/>
      </c>
      <c r="E26" s="10">
        <f>E10+E17</f>
        <v/>
      </c>
      <c r="F26" s="10">
        <f>F10+F17</f>
        <v/>
      </c>
      <c r="G26" s="10">
        <f>G10+G17+G18</f>
        <v/>
      </c>
      <c r="H26" s="10">
        <f>H10+H17+H21</f>
        <v/>
      </c>
    </row>
    <row r="29">
      <c r="B29" s="14" t="inlineStr">
        <is>
          <t>INVERSIÓN Y RETORNO — Escenario 5 (reforma SA), única inversión de capital propio real</t>
        </is>
      </c>
    </row>
    <row r="30">
      <c r="B30" t="inlineStr">
        <is>
          <t>Inversión inicial: coste reforma (€)</t>
        </is>
      </c>
      <c r="G30" s="4">
        <f>-'2_Escenarios'!G17</f>
        <v/>
      </c>
    </row>
    <row r="31">
      <c r="B31" t="inlineStr">
        <is>
          <t>Flujo incremental anual atribuible a la reforma (E4 vs E1) (€/año)</t>
        </is>
      </c>
      <c r="G31" s="4">
        <f>'3_Proyeccion'!F5-'3_Proyeccion'!C5</f>
        <v/>
      </c>
    </row>
    <row r="32">
      <c r="B32" s="9" t="inlineStr">
        <is>
          <t>Payback simple (años)</t>
        </is>
      </c>
      <c r="G32">
        <f>IF(G31&gt;0,-G30/G31,"N/A")</f>
        <v/>
      </c>
    </row>
    <row r="33">
      <c r="B33" t="inlineStr">
        <is>
          <t>Flujos año 0-10 para TIR/VAN (tabla auxiliar abajo) →</t>
        </is>
      </c>
    </row>
    <row r="34">
      <c r="B34" s="9" t="inlineStr">
        <is>
          <t>Año</t>
        </is>
      </c>
      <c r="C34" t="n">
        <v>0</v>
      </c>
      <c r="D34" t="n">
        <v>1</v>
      </c>
      <c r="E34" t="n">
        <v>2</v>
      </c>
      <c r="F34" t="n">
        <v>3</v>
      </c>
      <c r="G34" t="n">
        <v>4</v>
      </c>
      <c r="H34" t="n">
        <v>5</v>
      </c>
      <c r="I34" t="n">
        <v>6</v>
      </c>
      <c r="J34" t="n">
        <v>7</v>
      </c>
      <c r="K34" t="n">
        <v>8</v>
      </c>
      <c r="L34" t="n">
        <v>9</v>
      </c>
      <c r="M34" t="n">
        <v>10</v>
      </c>
    </row>
    <row r="35">
      <c r="B35" s="9" t="inlineStr">
        <is>
          <t>Flujo (€)</t>
        </is>
      </c>
      <c r="C35" s="4">
        <f>G30</f>
        <v/>
      </c>
      <c r="D35" s="4">
        <f>G31</f>
        <v/>
      </c>
      <c r="E35" s="4">
        <f>G31</f>
        <v/>
      </c>
      <c r="F35" s="4">
        <f>G31</f>
        <v/>
      </c>
      <c r="G35" s="4">
        <f>G31</f>
        <v/>
      </c>
      <c r="H35" s="4">
        <f>G31</f>
        <v/>
      </c>
      <c r="I35" s="4">
        <f>G31</f>
        <v/>
      </c>
      <c r="J35" s="4">
        <f>G31</f>
        <v/>
      </c>
      <c r="K35" s="4">
        <f>G31</f>
        <v/>
      </c>
      <c r="L35" s="4">
        <f>G31</f>
        <v/>
      </c>
      <c r="M35" s="4">
        <f>G31+'2_Escenarios'!G20</f>
        <v/>
      </c>
    </row>
    <row r="37">
      <c r="B37" s="9" t="inlineStr">
        <is>
          <t>VAN a 10 años, tasa de descuento (€)</t>
        </is>
      </c>
      <c r="G37" s="10">
        <f>C35+NPV('1_Inputs'!$B$37,D35:M35)</f>
        <v/>
      </c>
    </row>
    <row r="38">
      <c r="B38" s="9" t="inlineStr">
        <is>
          <t>TIR a 10 años (%)</t>
        </is>
      </c>
      <c r="G38" s="12">
        <f>IRR(C35:M35)</f>
        <v/>
      </c>
    </row>
    <row r="40" ht="45" customHeight="1">
      <c r="B40" s="15" t="inlineStr">
        <is>
          <t>Escenario 6 no tiene una inversión de capital propio clásica (financiado al 100% vía deuda) — su cash flow y patrimonio ya están arriba. Para el desglose de gastos de compra de la vivienda principal (ITP, notaría, registro), ver el Excel de esta mañana (7_Decision del modelo Alicante).</t>
        </is>
      </c>
    </row>
    <row r="41"/>
    <row r="42"/>
  </sheetData>
  <mergeCells count="1">
    <mergeCell ref="B40:E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outlineLevelCol="0"/>
  <cols>
    <col width="95" customWidth="1" min="1" max="1"/>
  </cols>
  <sheetData>
    <row r="1">
      <c r="A1" s="1" t="inlineStr">
        <is>
          <t>ASPECTOS LEGALES Y FISCALES — checklist, no son cálculos</t>
        </is>
      </c>
    </row>
    <row r="3">
      <c r="A3" s="16" t="inlineStr">
        <is>
          <t>SUBARRIENDO IBIZA</t>
        </is>
      </c>
    </row>
    <row r="4" ht="45" customHeight="1">
      <c r="A4" s="17" t="inlineStr">
        <is>
          <t>El contrato actual de Ibiza dice que permite subarrendar habitaciones — PENDIENTE confirmarlo documentalmente (leer la cláusula exacta o preguntar al casero por escrito). Sin esto, Escenario 3 tiene riesgo real de incumplimiento de contrato.</t>
        </is>
      </c>
    </row>
    <row r="6">
      <c r="A6" s="16" t="inlineStr">
        <is>
          <t>CONTRATO IBIZA — SALIDA ANTICIPADA</t>
        </is>
      </c>
    </row>
    <row r="7" ht="45" customHeight="1">
      <c r="A7" s="17" t="inlineStr">
        <is>
          <t>Si te mudas a San Antonio antes de 2033, hay que revisar si el contrato tiene penalización por dejarlo antes de plazo o si basta con preaviso — PENDIENTE de tu respuesta / de leer la cláusula de duración y desistimiento (normalmente LAU permite desistir a partir del 6º mes con 30 días de preaviso, pero puede haber indemnización pactada de hasta 1 mensualidad por año que falte).</t>
        </is>
      </c>
    </row>
    <row r="9">
      <c r="A9" s="2" t="inlineStr">
        <is>
          <t>REFORMA SAN ANTONIO — LICENCIA</t>
        </is>
      </c>
    </row>
    <row r="10" ht="45" customHeight="1">
      <c r="A10" s="17" t="inlineStr">
        <is>
          <t>Redistribuir un dormitorio en tres (tabiques nuevos) normalmente es obra menor y con comunicación al ayuntamiento (Sant Antoni) basta, no licencia de obra mayor — pero si toca instalaciones (fontanería, electricidad para una 3ª habitación) puede requerir más trámite. Confirmar con el ayuntamiento antes de tabicar.</t>
        </is>
      </c>
    </row>
    <row r="12">
      <c r="A12" s="2" t="inlineStr">
        <is>
          <t>HABITABILIDAD</t>
        </is>
      </c>
    </row>
    <row r="13" ht="45" customHeight="1">
      <c r="A13" s="17" t="inlineStr">
        <is>
          <t>Para alquilar por habitaciones, cada habitación debe cumplir mínimos de habitabilidad (ventilación, superficie mínima ~6m² dormitorio individual en normativa balear) — verificar que las 3 habitaciones resultantes cumplen tras la redistribución.</t>
        </is>
      </c>
    </row>
    <row r="15">
      <c r="A15" s="2" t="inlineStr">
        <is>
          <t>SUBARRIENDO — RÉGIMEN LEGAL</t>
        </is>
      </c>
    </row>
    <row r="16" ht="45" customHeight="1">
      <c r="A16" s="17" t="inlineStr">
        <is>
          <t>El alquiler por habitaciones en vivienda propia (San Antonio) no es 'subarriendo' sino arrendamiento directo de habitaciones — distinto régimen del subarriendo de la vivienda de Ibiza (que si es de alquiler, sería subarriendo real y necesita autorización expresa del propietario, art. 8 LAU).</t>
        </is>
      </c>
    </row>
    <row r="18">
      <c r="A18" s="2" t="inlineStr">
        <is>
          <t>SEGURO DE HOGAR / IMPAGO</t>
        </is>
      </c>
    </row>
    <row r="19" ht="45" customHeight="1">
      <c r="A19" s="17" t="inlineStr">
        <is>
          <t>Revisar que el seguro de San Antonio cubre alquiler por habitaciones (algunas pólizas de hogar excluyen esto) y contratar seguro de impago si se alquila, tradicional o habitaciones.</t>
        </is>
      </c>
    </row>
    <row r="21">
      <c r="A21" s="2" t="inlineStr">
        <is>
          <t>FISCAL — IRPF ALQUILERES</t>
        </is>
      </c>
    </row>
    <row r="22" ht="45" customHeight="1">
      <c r="A22" s="17" t="inlineStr">
        <is>
          <t>Los ingresos por alquiler (completo u habitaciones) tributan como rendimiento de capital inmobiliario en el IRPF, con reducción del 50-60% si es vivienda habitual del inquilino y contrato de larga duración (no aplica igual a habitaciones sueltas/turístico). Consultar con el gestor las reducciones aplicables a cada escenario.</t>
        </is>
      </c>
    </row>
    <row r="24">
      <c r="A24" s="2" t="inlineStr">
        <is>
          <t>FISCAL — VIVIENDA PRINCIPAL (E6)</t>
        </is>
      </c>
    </row>
    <row r="25" ht="45" customHeight="1">
      <c r="A25" s="17" t="inlineStr">
        <is>
          <t>Si compra una 2ª vivienda para vivir (Escenario 6), San Antonio deja de ser vivienda habitual a efectos fiscales si se alquila — revisar impacto en posibles deducciones o en el IBI/recargos de vivienda vacía si no se alquila.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outlineLevelCol="0"/>
  <cols>
    <col width="95" customWidth="1" min="1" max="1"/>
  </cols>
  <sheetData>
    <row r="1">
      <c r="A1" s="1" t="inlineStr">
        <is>
          <t>OPORTUNIDADES ADICIONALES — exploratorio, no cuantificado</t>
        </is>
      </c>
    </row>
    <row r="3">
      <c r="A3" s="2" t="inlineStr">
        <is>
          <t>Coliving</t>
        </is>
      </c>
    </row>
    <row r="4" ht="45" customHeight="1">
      <c r="A4" s="17" t="inlineStr">
        <is>
          <t>San Antonio con 3 habitaciones + zonas comunes podría orientarse a coliving (perfil profesional/nómada, contratos algo más largos que turístico, rentas 700-900€/hab en Ibiza según demanda). Requiere más gestión y mobiliario/decoración que habitaciones sueltas.</t>
        </is>
      </c>
    </row>
    <row r="6">
      <c r="A6" s="2" t="inlineStr">
        <is>
          <t>Alquiler temporal (media/larga estacionalidad)</t>
        </is>
      </c>
    </row>
    <row r="7" ht="45" customHeight="1">
      <c r="A7" s="17" t="inlineStr">
        <is>
          <t>Alquiler de 1-6 meses a trabajadores de temporada (hostelería, sanidad) — rentas más altas que anual, menos que turístico diario, sin necesidad de licencia turística. Encaja bien con la estacionalidad de Ibiza que ya penaliza el modelo de habitaciones anual.</t>
        </is>
      </c>
    </row>
    <row r="9">
      <c r="A9" s="2" t="inlineStr">
        <is>
          <t>Nómadas digitales</t>
        </is>
      </c>
    </row>
    <row r="10" ht="45" customHeight="1">
      <c r="A10" s="17" t="inlineStr">
        <is>
          <t>Perfil similar a coliving pero estancias 1-3 meses, rentas premium en temporada baja (oct-may) cuando la demanda de vivienda tradicional cae en Ibiza. Podría suavizar la vacancia estacional del 20% asumida en el modelo de habitaciones.</t>
        </is>
      </c>
    </row>
    <row r="12">
      <c r="A12" s="2" t="inlineStr">
        <is>
          <t>Empresas (alquiler corporativo)</t>
        </is>
      </c>
    </row>
    <row r="13" ht="45" customHeight="1">
      <c r="A13" s="17" t="inlineStr">
        <is>
          <t>Alquilar San Antonio completo a una empresa para alojar trabajadores desplazados (turismo, construcción) — renta estable tipo tradicional pero algo superior, sin gestión de rotación de habitaciones.</t>
        </is>
      </c>
    </row>
    <row r="15">
      <c r="A15" s="2" t="inlineStr">
        <is>
          <t>Compra mediante sociedad (SL)</t>
        </is>
      </c>
    </row>
    <row r="16" ht="45" customHeight="1">
      <c r="A16" s="17" t="inlineStr">
        <is>
          <t>Si el patrimonio crece (ver plan 1M€ ya en marcha), estructurar futuras compras vía SL puede tener ventajas fiscales (IS 15-25% vs IRPF marginal más alto) — ya se está explorando en el proyecto plan-financiero-2026/informe-negocios-escalables-2026.md. No repetir el análisis aquí, son el mismo tema.</t>
        </is>
      </c>
    </row>
    <row r="18">
      <c r="A18" s="2" t="inlineStr">
        <is>
          <t>Estrategias fiscales</t>
        </is>
      </c>
    </row>
    <row r="19" ht="45" customHeight="1">
      <c r="A19" s="17" t="inlineStr">
        <is>
          <t>Ver deducciones autonómicas Baleares por alquiler de vivienda habitual del inquilino, reducción 50-60% en rendimientos de capital inmobiliario, y compensación de rendimientos negativos entre inmuebles — consultar con gestor antes de decidir estructura final.</t>
        </is>
      </c>
    </row>
    <row r="21">
      <c r="A21" s="2" t="inlineStr">
        <is>
          <t>Nuevas inversiones (fuera de Ibiza)</t>
        </is>
      </c>
    </row>
    <row r="22" ht="45" customHeight="1">
      <c r="A22" s="17" t="inlineStr">
        <is>
          <t>Ver plan 1M€ a 10 años ya en marcha (flips en Alicante) — no se repite aquí, es el mismo plan, ver [[../plan-financiero-2026/plan-1M-10anos|plan 1M€]].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2026-07-28T12:41:14Z</dcterms:created>
  <dcterms:modified xmlns:dcterms="http://purl.org/dc/terms/" xmlns:xsi="http://www.w3.org/2001/XMLSchema-instance" xsi:type="dcterms:W3CDTF">2026-07-28T12:41:14Z</dcterms:modified>
</cp:coreProperties>
</file>
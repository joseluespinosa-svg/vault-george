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puts" sheetId="1" state="visible" r:id="rId1"/>
    <sheet xmlns:r="http://schemas.openxmlformats.org/officeDocument/2006/relationships" name="2_Comparati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€&quot;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0" fillId="5" borderId="0" pivotButton="0" quotePrefix="0" xfId="0"/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 outlineLevelCol="0"/>
  <cols>
    <col width="58" customWidth="1" min="1" max="1"/>
    <col width="20" customWidth="1" min="2" max="2"/>
  </cols>
  <sheetData>
    <row r="1">
      <c r="A1" s="1" t="inlineStr">
        <is>
          <t>SAN ANTONIO — Tradicional vs Habitaciones — Inputs</t>
        </is>
      </c>
    </row>
    <row r="2">
      <c r="A2" s="2" t="inlineStr">
        <is>
          <t>Amarillo = supuesto editable. Rojo = pendiente de decidir/confirmar. Basado en cifras del brief 26/07/2026.</t>
        </is>
      </c>
    </row>
    <row r="4">
      <c r="A4" s="3" t="inlineStr">
        <is>
          <t>TRADICIONAL (contrato LAU larga duración)</t>
        </is>
      </c>
      <c r="B4" s="4" t="n"/>
      <c r="C4" s="4" t="n"/>
    </row>
    <row r="5">
      <c r="A5" t="inlineStr">
        <is>
          <t>Renta bruta mensual (€)</t>
        </is>
      </c>
      <c r="B5" s="5" t="n">
        <v>1200</v>
      </c>
    </row>
    <row r="6">
      <c r="A6" t="inlineStr">
        <is>
          <t>Vacancia anual (%) — rotación baja</t>
        </is>
      </c>
      <c r="B6" s="6" t="n">
        <v>0.05</v>
      </c>
    </row>
    <row r="7">
      <c r="A7" t="inlineStr">
        <is>
          <t>Suministros a cargo de (inquilino=0€, propietario=importe)</t>
        </is>
      </c>
      <c r="B7" s="5" t="n">
        <v>0</v>
      </c>
    </row>
    <row r="8">
      <c r="A8" t="inlineStr">
        <is>
          <t>Gestión delegada — % sobre renta bruta (remoto, mínima)</t>
        </is>
      </c>
      <c r="B8" s="6" t="n">
        <v>0</v>
      </c>
    </row>
    <row r="9">
      <c r="A9" t="inlineStr">
        <is>
          <t>Seguro impago — % sobre renta bruta anual (estándar mercado)</t>
        </is>
      </c>
      <c r="B9" s="6" t="n">
        <v>0.035</v>
      </c>
    </row>
    <row r="10">
      <c r="A10" t="inlineStr">
        <is>
          <t>% renta computable por el banco en DSTI (LAU larga duración)</t>
        </is>
      </c>
      <c r="B10" s="6" t="n">
        <v>0.65</v>
      </c>
    </row>
    <row r="12">
      <c r="A12" s="3" t="inlineStr">
        <is>
          <t>HABITACIONES (3 hab., Código Civil)</t>
        </is>
      </c>
      <c r="B12" s="4" t="n"/>
      <c r="C12" s="4" t="n"/>
    </row>
    <row r="13">
      <c r="A13" t="inlineStr">
        <is>
          <t>Renta bruta mensual total (3 hab. × 550-650€) (€)</t>
        </is>
      </c>
      <c r="B13" s="5" t="n">
        <v>1750</v>
      </c>
    </row>
    <row r="14">
      <c r="A14" t="inlineStr">
        <is>
          <t>Vacancia anual (%) — alta, estacional Ibiza</t>
        </is>
      </c>
      <c r="B14" s="6" t="n">
        <v>0.2</v>
      </c>
    </row>
    <row r="15">
      <c r="A15" t="inlineStr">
        <is>
          <t>Suministros a cargo del propietario (€/mes)</t>
        </is>
      </c>
      <c r="B15" s="5" t="n">
        <v>175</v>
      </c>
    </row>
    <row r="16">
      <c r="A16" t="inlineStr">
        <is>
          <t>Gestión delegada — % sobre renta bruta (presencial: limpieza, rotación, check-in/out; José Luis estará en Alicante, no puede hacerlo él)</t>
        </is>
      </c>
      <c r="B16" s="6" t="n">
        <v>0.15</v>
      </c>
    </row>
    <row r="17">
      <c r="A17" t="inlineStr">
        <is>
          <t>Seguro impago disponible (SÍ/NO)</t>
        </is>
      </c>
      <c r="B17" s="7" t="inlineStr">
        <is>
          <t>NO — muchas aseguradoras no cubren habitaciones o cobertura peor</t>
        </is>
      </c>
    </row>
    <row r="18">
      <c r="A18" t="inlineStr">
        <is>
          <t>Seguro impago — % sobre renta bruta anual, SI estuviera disponible (referencia)</t>
        </is>
      </c>
      <c r="B18" s="6" t="n">
        <v>0.07000000000000001</v>
      </c>
    </row>
    <row r="19">
      <c r="A19" t="inlineStr">
        <is>
          <t>% renta computable por el banco en DSTI (habitaciones, muchos bancos computan poco/nada)</t>
        </is>
      </c>
      <c r="B19" s="6" t="n">
        <v>0.1</v>
      </c>
    </row>
    <row r="21">
      <c r="A21" s="3" t="inlineStr">
        <is>
          <t>COMUNES</t>
        </is>
      </c>
      <c r="B21" s="4" t="n"/>
      <c r="C21" s="4" t="n"/>
    </row>
    <row r="22">
      <c r="A22" t="inlineStr">
        <is>
          <t>Ingresos nómina combinados (€/mes) — referencia, ver modelo Alicante</t>
        </is>
      </c>
      <c r="B22" s="8" t="n">
        <v>3800</v>
      </c>
    </row>
    <row r="23">
      <c r="A23" t="inlineStr">
        <is>
          <t>Tipo interés hipoteca referencia (para traducir margen DSTI a capital) (%)</t>
        </is>
      </c>
      <c r="B23" s="6" t="n">
        <v>0.0375</v>
      </c>
    </row>
    <row r="24">
      <c r="A24" t="inlineStr">
        <is>
          <t>Plazo hipoteca referencia (años)</t>
        </is>
      </c>
      <c r="B24" s="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1" t="inlineStr">
        <is>
          <t>COMPARATIVA 3 AÑOS — Tradicional vs Habitaciones</t>
        </is>
      </c>
    </row>
    <row r="3">
      <c r="A3" s="3" t="inlineStr">
        <is>
          <t>Concepto</t>
        </is>
      </c>
      <c r="B3" s="3" t="inlineStr">
        <is>
          <t>Tradicional</t>
        </is>
      </c>
      <c r="C3" s="3" t="inlineStr">
        <is>
          <t>Habitaciones</t>
        </is>
      </c>
    </row>
    <row r="4">
      <c r="A4" t="inlineStr">
        <is>
          <t>Renta bruta mensual (€)</t>
        </is>
      </c>
      <c r="B4" s="8">
        <f>'1_Inputs'!$B$5</f>
        <v/>
      </c>
      <c r="C4" s="8">
        <f>'1_Inputs'!$B$13</f>
        <v/>
      </c>
    </row>
    <row r="5">
      <c r="A5" t="inlineStr">
        <is>
          <t>Renta bruta anual (€)</t>
        </is>
      </c>
      <c r="B5" s="8">
        <f>B4*12</f>
        <v/>
      </c>
      <c r="C5" s="8">
        <f>C4*12</f>
        <v/>
      </c>
    </row>
    <row r="6">
      <c r="A6" t="inlineStr">
        <is>
          <t>Vacancia anual (%)</t>
        </is>
      </c>
      <c r="B6" s="10">
        <f>'1_Inputs'!$B$6</f>
        <v/>
      </c>
      <c r="C6" s="10">
        <f>'1_Inputs'!$B$14</f>
        <v/>
      </c>
    </row>
    <row r="7">
      <c r="A7" t="inlineStr">
        <is>
          <t>Pérdida por vacancia (€/año)</t>
        </is>
      </c>
      <c r="B7" s="8">
        <f>B5*B6</f>
        <v/>
      </c>
      <c r="C7" s="8">
        <f>C5*C6</f>
        <v/>
      </c>
    </row>
    <row r="8">
      <c r="A8" t="inlineStr">
        <is>
          <t>Suministros (€/año)</t>
        </is>
      </c>
      <c r="B8" s="8">
        <f>'1_Inputs'!$B$7*12</f>
        <v/>
      </c>
      <c r="C8" s="8">
        <f>'1_Inputs'!$B$15*12</f>
        <v/>
      </c>
    </row>
    <row r="9">
      <c r="A9" t="inlineStr">
        <is>
          <t>Gestión delegada (€/año)</t>
        </is>
      </c>
      <c r="B9" s="8">
        <f>B5*'1_Inputs'!$B$8</f>
        <v/>
      </c>
      <c r="C9" s="8">
        <f>C5*'1_Inputs'!$B$16</f>
        <v/>
      </c>
    </row>
    <row r="10">
      <c r="A10" t="inlineStr">
        <is>
          <t>Seguro impago (€/año)</t>
        </is>
      </c>
      <c r="B10" s="8">
        <f>B5*'1_Inputs'!$B$9</f>
        <v/>
      </c>
      <c r="C10" s="8">
        <f>IF('1_Inputs'!$B$17="SÍ",C5*'1_Inputs'!$B$18,0)</f>
        <v/>
      </c>
    </row>
    <row r="11">
      <c r="A11" s="11" t="inlineStr">
        <is>
          <t>NETO ANUAL (€)</t>
        </is>
      </c>
      <c r="B11" s="12">
        <f>B5-B7-B8-B9-B10</f>
        <v/>
      </c>
      <c r="C11" s="12">
        <f>C5-C7-C8-C9-C10</f>
        <v/>
      </c>
    </row>
    <row r="12">
      <c r="A12" s="11" t="inlineStr">
        <is>
          <t>NETO 3 AÑOS (€)</t>
        </is>
      </c>
      <c r="B12" s="12">
        <f>B11*3</f>
        <v/>
      </c>
      <c r="C12" s="12">
        <f>C11*3</f>
        <v/>
      </c>
    </row>
    <row r="13">
      <c r="A13" t="inlineStr">
        <is>
          <t>Neto mensual medio (€/mes)</t>
        </is>
      </c>
      <c r="B13" s="8">
        <f>B11/12</f>
        <v/>
      </c>
      <c r="C13" s="8">
        <f>C11/12</f>
        <v/>
      </c>
    </row>
    <row r="14">
      <c r="A14" s="11" t="inlineStr">
        <is>
          <t>DIFERENCIA vs otra opción, 3 años (€)</t>
        </is>
      </c>
      <c r="B14" s="8">
        <f>B12-C12</f>
        <v/>
      </c>
      <c r="C14" s="8">
        <f>C12-B12</f>
        <v/>
      </c>
    </row>
    <row r="16">
      <c r="A16" s="3" t="inlineStr">
        <is>
          <t>IMPACTO EN CAPACIDAD DE FINANCIACIÓN (el factor decisivo para el plan 1M€)</t>
        </is>
      </c>
      <c r="B16" s="4" t="n"/>
      <c r="C16" s="4" t="n"/>
    </row>
    <row r="17">
      <c r="A17" t="inlineStr">
        <is>
          <t>% renta computable por el banco en DSTI</t>
        </is>
      </c>
      <c r="B17" s="10">
        <f>'1_Inputs'!$B$10</f>
        <v/>
      </c>
      <c r="C17" s="10">
        <f>'1_Inputs'!$B$19</f>
        <v/>
      </c>
    </row>
    <row r="18">
      <c r="A18" t="inlineStr">
        <is>
          <t>Ingreso extra computable en DSTI (€/mes)</t>
        </is>
      </c>
      <c r="B18" s="8">
        <f>B4*B17</f>
        <v/>
      </c>
      <c r="C18" s="8">
        <f>C4*C17</f>
        <v/>
      </c>
    </row>
    <row r="19">
      <c r="A19" s="11" t="inlineStr">
        <is>
          <t>Capital hipotecable adicional que desbloquea (€)</t>
        </is>
      </c>
      <c r="B19" s="12">
        <f>PV('1_Inputs'!$B$23/12,'1_Inputs'!$B$24*12,-B18)</f>
        <v/>
      </c>
      <c r="C19" s="12">
        <f>PV('1_Inputs'!$B$23/12,'1_Inputs'!$B$24*12,-C18)</f>
        <v/>
      </c>
    </row>
    <row r="20">
      <c r="A20" s="11" t="inlineStr">
        <is>
          <t>DIFERENCIA capital hipotecable (€)</t>
        </is>
      </c>
      <c r="B20" s="5">
        <f>B19-C19</f>
        <v/>
      </c>
    </row>
    <row r="22" ht="55" customHeight="1">
      <c r="A22" s="13" t="inlineStr">
        <is>
          <t>Otros factores no monetarios (del brief): legal (habitaciones = Código Civil, desahucio algo más ágil pero no absoluto), seguro de impago (habitaciones: muchas aseguradoras no cubren o cobertura peor — riesgo sin colchón), timing (decisión real con llaves en mano, el desahucio puede tardar 6-10 meses).</t>
        </is>
      </c>
    </row>
    <row r="23"/>
    <row r="24"/>
    <row r="26">
      <c r="A26" s="3" t="inlineStr">
        <is>
          <t>CONCLUSIÓN</t>
        </is>
      </c>
      <c r="B26" s="4" t="n"/>
      <c r="C26" s="4" t="n"/>
    </row>
    <row r="27" ht="90" customHeight="1">
      <c r="A27" s="14">
        <f>"Cash flow 3 años: Tradicional "&amp;TEXT(B12,"#,##0")&amp;"€ vs Habitaciones "&amp;TEXT(C12,"#,##0")&amp;"€ (dif "&amp;TEXT(B14,"#,##0")&amp;"€). Capacidad de financiación: Tradicional desbloquea "&amp;TEXT(B19,"#,##0")&amp;"€ vs Habitaciones "&amp;TEXT(C19,"#,##0")&amp;"€ (dif "&amp;TEXT(B20,"#,##0")&amp;"€). "&amp;IF(B12&gt;C12,"Tradicional gana en cash flow. ","Habitaciones gana en cash flow. ")&amp;IF(B19&gt;C19,"Tradicional gana también en capacidad de financiación — con el plan 1M€ dependiendo de financiación, esto pesa más que el cash flow.","Habitaciones gana también en capacidad de financiación.")</f>
        <v/>
      </c>
    </row>
    <row r="28"/>
    <row r="29"/>
    <row r="30"/>
  </sheetData>
  <mergeCells count="2">
    <mergeCell ref="A27:C30"/>
    <mergeCell ref="A22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2026-07-27T06:23:23Z</dcterms:created>
  <dcterms:modified xmlns:dcterms="http://purl.org/dc/terms/" xmlns:xsi="http://www.w3.org/2001/XMLSchema-instance" xsi:type="dcterms:W3CDTF">2026-07-27T06:23:23Z</dcterms:modified>
</cp:coreProperties>
</file>
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💰 Resumen" sheetId="1" state="visible" r:id="rId1"/>
    <sheet xmlns:r="http://schemas.openxmlformats.org/officeDocument/2006/relationships" name="📊 Fiscal — Escenarios" sheetId="2" state="visible" r:id="rId2"/>
    <sheet xmlns:r="http://schemas.openxmlformats.org/officeDocument/2006/relationships" name="🏠 Alquiler San Anton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  <font>
      <b val="1"/>
      <sz val="11"/>
    </font>
    <font>
      <b val="1"/>
      <color rgb="00FFFFFF"/>
      <sz val="15"/>
    </font>
    <font>
      <i val="1"/>
      <sz val="9"/>
    </font>
    <font>
      <b val="1"/>
      <color rgb="00FFFFFF"/>
      <sz val="14"/>
    </font>
    <font>
      <b val="1"/>
      <color rgb="00FFFFFF"/>
      <sz val="11"/>
    </font>
    <font>
      <b val="1"/>
      <color rgb="00000000"/>
      <sz val="10"/>
    </font>
    <font>
      <b val="1"/>
      <color rgb="00000000"/>
      <sz val="11"/>
    </font>
  </fonts>
  <fills count="1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ECEFF1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164" fontId="5" fillId="8" borderId="1" applyAlignment="1" pivotButton="0" quotePrefix="0" xfId="0">
      <alignment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164" fontId="4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64" fontId="5" fillId="10" borderId="1" applyAlignment="1" pivotButton="0" quotePrefix="0" xfId="0">
      <alignment vertical="center" wrapText="1"/>
    </xf>
    <xf numFmtId="0" fontId="2" fillId="11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4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vertical="center" wrapText="1"/>
    </xf>
    <xf numFmtId="0" fontId="5" fillId="14" borderId="1" applyAlignment="1" pivotButton="0" quotePrefix="0" xfId="0">
      <alignment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0" fillId="15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vertical="center" wrapText="1"/>
    </xf>
    <xf numFmtId="0" fontId="13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13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vertical="center" wrapText="1"/>
    </xf>
    <xf numFmtId="0" fontId="12" fillId="10" borderId="1" applyAlignment="1" pivotButton="0" quotePrefix="0" xfId="0">
      <alignment vertical="center" wrapText="1"/>
    </xf>
    <xf numFmtId="0" fontId="12" fillId="1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Ingresos: Bruto vs Neto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'💰 Resumen'!B4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'💰 Resumen'!$A$5:$A$7</f>
            </numRef>
          </cat>
          <val>
            <numRef>
              <f>'💰 Resumen'!$B$5:$B$7</f>
            </numRef>
          </val>
        </ser>
        <ser>
          <idx val="1"/>
          <order val="1"/>
          <tx>
            <strRef>
              <f>'💰 Resumen'!C4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'💰 Resumen'!$A$5:$A$7</f>
            </numRef>
          </cat>
          <val>
            <numRef>
              <f>'💰 Resumen'!$C$5:$C$7</f>
            </numRef>
          </val>
        </ser>
        <ser>
          <idx val="2"/>
          <order val="2"/>
          <tx>
            <strRef>
              <f>'💰 Resumen'!D4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'💰 Resumen'!$A$5:$A$7</f>
            </numRef>
          </cat>
          <val>
            <numRef>
              <f>'💰 Resumen'!$D$5:$D$7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Fuente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Neto anual de servicios por escenario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Fiscal — Escenarios'!C16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Fiscal — Escenarios'!$B$17:$B$19</f>
            </numRef>
          </cat>
          <val>
            <numRef>
              <f>'📊 Fiscal — Escenarios'!$C$17:$C$19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netos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Destino de los 1.850€/mes</a:t>
            </a:r>
          </a:p>
        </rich>
      </tx>
    </title>
    <plotArea>
      <pieChart>
        <varyColors val="1"/>
        <ser>
          <idx val="0"/>
          <order val="0"/>
          <tx>
            <strRef>
              <f>'🏠 Alquiler San Antonio'!F3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'🏠 Alquiler San Antonio'!$E$4:$E$6</f>
            </numRef>
          </cat>
          <val>
            <numRef>
              <f>'🏠 Alquiler San Antonio'!$F$4:$F$6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SITUACIÓN FINANCIERA — JOSE LUIS 2026</t>
        </is>
      </c>
    </row>
    <row r="2" ht="20" customHeight="1"/>
    <row r="3">
      <c r="A3" s="2" t="inlineStr">
        <is>
          <t>INGRESOS ANUALES</t>
        </is>
      </c>
    </row>
    <row r="4">
      <c r="A4" s="3" t="inlineStr">
        <is>
          <t>Concepto</t>
        </is>
      </c>
      <c r="B4" s="3" t="inlineStr">
        <is>
          <t>Bruto anual</t>
        </is>
      </c>
      <c r="C4" s="3" t="inlineStr">
        <is>
          <t>Tributable real</t>
        </is>
      </c>
      <c r="D4" s="3" t="inlineStr">
        <is>
          <t>Neto estimado</t>
        </is>
      </c>
    </row>
    <row r="5">
      <c r="A5" s="4" t="inlineStr">
        <is>
          <t>Nómina empleo</t>
        </is>
      </c>
      <c r="B5" s="5" t="n">
        <v>35000</v>
      </c>
      <c r="C5" s="5" t="n">
        <v>35000</v>
      </c>
      <c r="D5" s="5" t="n">
        <v>28500</v>
      </c>
    </row>
    <row r="6">
      <c r="A6" s="6" t="inlineStr">
        <is>
          <t>Alquiler San Antonio (60% reducción)</t>
        </is>
      </c>
      <c r="B6" s="7" t="n">
        <v>22200</v>
      </c>
      <c r="C6" s="7" t="n">
        <v>7280</v>
      </c>
      <c r="D6" s="7" t="n">
        <v>19200</v>
      </c>
    </row>
    <row r="7">
      <c r="A7" s="8" t="inlineStr">
        <is>
          <t>Servicios (estimado — autónomo)</t>
        </is>
      </c>
      <c r="B7" s="9" t="n">
        <v>20000</v>
      </c>
      <c r="C7" s="9" t="n">
        <v>20000</v>
      </c>
      <c r="D7" s="9" t="n">
        <v>10000</v>
      </c>
    </row>
    <row r="8">
      <c r="A8" s="10" t="inlineStr">
        <is>
          <t>TOTAL BRUTO</t>
        </is>
      </c>
      <c r="B8" s="11" t="n">
        <v>77200</v>
      </c>
      <c r="C8" s="11" t="n">
        <v>62280</v>
      </c>
      <c r="D8" s="11" t="n">
        <v>57700</v>
      </c>
    </row>
    <row r="10">
      <c r="A10" s="12" t="inlineStr">
        <is>
          <t>GASTOS FIJOS MENSUALES</t>
        </is>
      </c>
    </row>
    <row r="11">
      <c r="A11" s="3" t="inlineStr">
        <is>
          <t>Concepto</t>
        </is>
      </c>
      <c r="B11" s="3" t="inlineStr">
        <is>
          <t>Mensual</t>
        </is>
      </c>
      <c r="C11" s="3" t="inlineStr">
        <is>
          <t>Anual</t>
        </is>
      </c>
      <c r="D11" s="3" t="inlineStr">
        <is>
          <t>Notas</t>
        </is>
      </c>
    </row>
    <row r="12">
      <c r="A12" s="13" t="inlineStr">
        <is>
          <t>Tu alquiler (donde vives)</t>
        </is>
      </c>
      <c r="B12" s="14" t="n">
        <v>2000</v>
      </c>
      <c r="C12" s="14" t="n">
        <v>24000</v>
      </c>
      <c r="D12" s="13" t="inlineStr">
        <is>
          <t>No deducible IRPF</t>
        </is>
      </c>
    </row>
    <row r="13">
      <c r="A13" s="13" t="inlineStr">
        <is>
          <t>Cuota autónomo (si te das de alta)</t>
        </is>
      </c>
      <c r="B13" s="14" t="n">
        <v>294</v>
      </c>
      <c r="C13" s="14" t="n">
        <v>3528</v>
      </c>
      <c r="D13" s="13" t="inlineStr">
        <is>
          <t>Deducible en IRPF</t>
        </is>
      </c>
    </row>
    <row r="14">
      <c r="A14" s="13" t="inlineStr">
        <is>
          <t>Seguro coche Allianz</t>
        </is>
      </c>
      <c r="B14" s="14" t="n">
        <v>27</v>
      </c>
      <c r="C14" s="14" t="n">
        <v>324</v>
      </c>
      <c r="D14" s="13" t="inlineStr">
        <is>
          <t>7389MZF</t>
        </is>
      </c>
    </row>
    <row r="15">
      <c r="A15" s="15" t="inlineStr">
        <is>
          <t>TOTAL GASTOS FIJOS</t>
        </is>
      </c>
      <c r="B15" s="16" t="n">
        <v>2321</v>
      </c>
      <c r="C15" s="16" t="n">
        <v>27852</v>
      </c>
      <c r="D15" s="15" t="inlineStr"/>
    </row>
    <row r="17">
      <c r="A17" s="17" t="inlineStr">
        <is>
          <t>RESULTADO NETO MENSUAL ESTIMADO</t>
        </is>
      </c>
    </row>
    <row r="18">
      <c r="A18" s="18" t="inlineStr">
        <is>
          <t>Concepto</t>
        </is>
      </c>
      <c r="B18" s="18" t="inlineStr">
        <is>
          <t>Mensual</t>
        </is>
      </c>
      <c r="C18" s="18" t="inlineStr">
        <is>
          <t>Notas</t>
        </is>
      </c>
      <c r="D18" s="19" t="inlineStr"/>
    </row>
    <row r="19">
      <c r="A19" s="20" t="inlineStr">
        <is>
          <t>Nómina neta (después IRPF)</t>
        </is>
      </c>
      <c r="B19" s="21" t="inlineStr">
        <is>
          <t>~2.375€/mes</t>
        </is>
      </c>
      <c r="C19" s="20" t="inlineStr"/>
      <c r="D19" s="70" t="n"/>
    </row>
    <row r="20">
      <c r="A20" s="20" t="inlineStr">
        <is>
          <t>Alquiler neto (después IRPF)</t>
        </is>
      </c>
      <c r="B20" s="21" t="inlineStr">
        <is>
          <t>~1.325€/mes</t>
        </is>
      </c>
      <c r="C20" s="20" t="inlineStr">
        <is>
          <t>72% del bruto</t>
        </is>
      </c>
      <c r="D20" s="70" t="n"/>
    </row>
    <row r="21">
      <c r="A21" s="20" t="inlineStr">
        <is>
          <t>Alquiler tuyo (gasto)</t>
        </is>
      </c>
      <c r="B21" s="21" t="inlineStr">
        <is>
          <t>−2.000€/mes</t>
        </is>
      </c>
      <c r="C21" s="20" t="inlineStr"/>
      <c r="D21" s="70" t="n"/>
    </row>
    <row r="22">
      <c r="A22" s="22" t="inlineStr">
        <is>
          <t>TOTAL DISPONIBLE</t>
        </is>
      </c>
      <c r="B22" s="23" t="inlineStr">
        <is>
          <t>~1.700€/mes</t>
        </is>
      </c>
      <c r="C22" s="22" t="inlineStr">
        <is>
          <t>Sin contar servicios</t>
        </is>
      </c>
      <c r="D22" s="70" t="n"/>
    </row>
  </sheetData>
  <mergeCells count="8">
    <mergeCell ref="A1:D1"/>
    <mergeCell ref="A17:D17"/>
    <mergeCell ref="C20:D20"/>
    <mergeCell ref="C21:D21"/>
    <mergeCell ref="A3:D3"/>
    <mergeCell ref="C19:D19"/>
    <mergeCell ref="C22:D22"/>
    <mergeCell ref="A10:D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35" customHeight="1">
      <c r="A1" s="24" t="inlineStr">
        <is>
          <t>COMPARATIVA FISCAL — 3 ESCENARIOS</t>
        </is>
      </c>
    </row>
    <row r="3" ht="35" customHeight="1">
      <c r="A3" s="3" t="inlineStr">
        <is>
          <t>Concepto</t>
        </is>
      </c>
      <c r="B3" s="3" t="inlineStr">
        <is>
          <t>Autónomo todo
declarado</t>
        </is>
      </c>
      <c r="C3" s="3" t="inlineStr">
        <is>
          <t>SL Micropyme
(recomendado)</t>
        </is>
      </c>
      <c r="D3" s="3" t="inlineStr">
        <is>
          <t>Sin declarar
(ILEGAL ❌)</t>
        </is>
      </c>
      <c r="E3" s="3" t="inlineStr">
        <is>
          <t>Notas</t>
        </is>
      </c>
    </row>
    <row r="4">
      <c r="A4" s="4" t="inlineStr">
        <is>
          <t>INGRESOS SERVICIOS (facturado)</t>
        </is>
      </c>
      <c r="B4" s="25" t="inlineStr">
        <is>
          <t>20.000€</t>
        </is>
      </c>
      <c r="C4" s="25" t="inlineStr">
        <is>
          <t>20.000€</t>
        </is>
      </c>
      <c r="D4" s="26" t="inlineStr">
        <is>
          <t>0€ declarado</t>
        </is>
      </c>
      <c r="E4" s="27" t="inlineStr">
        <is>
          <t>Estimado anual</t>
        </is>
      </c>
    </row>
    <row r="5">
      <c r="A5" s="28" t="inlineStr">
        <is>
          <t>Gastos deducibles</t>
        </is>
      </c>
      <c r="B5" s="29" t="inlineStr">
        <is>
          <t>−6.000€</t>
        </is>
      </c>
      <c r="C5" s="29" t="inlineStr">
        <is>
          <t>−8.000€</t>
        </is>
      </c>
      <c r="D5" s="26" t="inlineStr">
        <is>
          <t>—</t>
        </is>
      </c>
      <c r="E5" s="30" t="inlineStr">
        <is>
          <t>Furgoneta, materiales, etc.</t>
        </is>
      </c>
    </row>
    <row r="6">
      <c r="A6" s="6" t="inlineStr">
        <is>
          <t>Base tributable servicios</t>
        </is>
      </c>
      <c r="B6" s="31" t="inlineStr">
        <is>
          <t>14.000€</t>
        </is>
      </c>
      <c r="C6" s="31" t="inlineStr">
        <is>
          <t>12.000€</t>
        </is>
      </c>
      <c r="D6" s="26" t="inlineStr">
        <is>
          <t>0€</t>
        </is>
      </c>
      <c r="E6" s="32" t="inlineStr"/>
    </row>
    <row r="7">
      <c r="A7" s="8" t="inlineStr">
        <is>
          <t>Impuesto sobre servicios</t>
        </is>
      </c>
      <c r="B7" s="33" t="inlineStr">
        <is>
          <t>~5.180€ (37%)</t>
        </is>
      </c>
      <c r="C7" s="33" t="inlineStr">
        <is>
          <t>~1.800€ (15% IS)</t>
        </is>
      </c>
      <c r="D7" s="26" t="inlineStr">
        <is>
          <t>0€</t>
        </is>
      </c>
      <c r="E7" s="34" t="inlineStr">
        <is>
          <t>Tramo IRPF vs IS</t>
        </is>
      </c>
    </row>
    <row r="8">
      <c r="A8" s="28" t="inlineStr">
        <is>
          <t>Cuota autónomo / SS adm.</t>
        </is>
      </c>
      <c r="B8" s="29" t="inlineStr">
        <is>
          <t>3.528€/año</t>
        </is>
      </c>
      <c r="C8" s="29" t="inlineStr">
        <is>
          <t>3.528€/año</t>
        </is>
      </c>
      <c r="D8" s="26" t="inlineStr">
        <is>
          <t>0€</t>
        </is>
      </c>
      <c r="E8" s="30" t="inlineStr">
        <is>
          <t>294€/mes</t>
        </is>
      </c>
    </row>
    <row r="9">
      <c r="A9" s="35" t="inlineStr">
        <is>
          <t>Gestoría extra SL</t>
        </is>
      </c>
      <c r="B9" s="36" t="inlineStr">
        <is>
          <t>0€</t>
        </is>
      </c>
      <c r="C9" s="36" t="inlineStr">
        <is>
          <t>1.800€/año</t>
        </is>
      </c>
      <c r="D9" s="37" t="inlineStr">
        <is>
          <t>0€</t>
        </is>
      </c>
      <c r="E9" s="30" t="inlineStr">
        <is>
          <t>Solo si hay SL</t>
        </is>
      </c>
    </row>
    <row r="10">
      <c r="A10" s="38" t="inlineStr">
        <is>
          <t>COSTE FISCAL TOTAL</t>
        </is>
      </c>
      <c r="B10" s="39" t="inlineStr">
        <is>
          <t>8.708€/año</t>
        </is>
      </c>
      <c r="C10" s="39" t="inlineStr">
        <is>
          <t>7.128€/año</t>
        </is>
      </c>
      <c r="D10" s="26" t="inlineStr">
        <is>
          <t>0€</t>
        </is>
      </c>
      <c r="E10" s="40" t="inlineStr"/>
    </row>
    <row r="11">
      <c r="A11" s="41" t="inlineStr">
        <is>
          <t>NETO de los servicios</t>
        </is>
      </c>
      <c r="B11" s="42" t="inlineStr">
        <is>
          <t>~11.292€/año</t>
        </is>
      </c>
      <c r="C11" s="42" t="inlineStr">
        <is>
          <t>~12.872€/año</t>
        </is>
      </c>
      <c r="D11" s="37" t="inlineStr">
        <is>
          <t>20.000€ aparente</t>
        </is>
      </c>
      <c r="E11" s="43" t="inlineStr"/>
    </row>
    <row r="12">
      <c r="A12" s="15" t="inlineStr">
        <is>
          <t>RIESGO HACIENDA</t>
        </is>
      </c>
      <c r="B12" s="37" t="inlineStr">
        <is>
          <t>NINGUNO ✅</t>
        </is>
      </c>
      <c r="C12" s="37" t="inlineStr">
        <is>
          <t>NINGUNO ✅</t>
        </is>
      </c>
      <c r="D12" s="37" t="inlineStr">
        <is>
          <t>MUY ALTO ❌</t>
        </is>
      </c>
      <c r="E12" s="44" t="inlineStr">
        <is>
          <t>Multa 50-150%</t>
        </is>
      </c>
    </row>
    <row r="13">
      <c r="A13" s="20" t="inlineStr">
        <is>
          <t>AHORRO vs Autónomo</t>
        </is>
      </c>
      <c r="B13" s="21" t="inlineStr">
        <is>
          <t>—</t>
        </is>
      </c>
      <c r="C13" s="21" t="inlineStr">
        <is>
          <t>+1.580€/año</t>
        </is>
      </c>
      <c r="D13" s="26" t="inlineStr">
        <is>
          <t>Trampa, no ahorro</t>
        </is>
      </c>
      <c r="E13" s="43" t="inlineStr"/>
    </row>
    <row r="16">
      <c r="B16" s="45" t="inlineStr">
        <is>
          <t>Escenario</t>
        </is>
      </c>
      <c r="C16" s="45" t="inlineStr">
        <is>
          <t>Neto anual servicios</t>
        </is>
      </c>
    </row>
    <row r="17">
      <c r="B17" s="45" t="inlineStr">
        <is>
          <t>Autónomo declarado</t>
        </is>
      </c>
      <c r="C17" s="45" t="n">
        <v>11292</v>
      </c>
    </row>
    <row r="18">
      <c r="B18" s="45" t="inlineStr">
        <is>
          <t>SL Micropyme</t>
        </is>
      </c>
      <c r="C18" s="45" t="n">
        <v>12872</v>
      </c>
    </row>
    <row r="19">
      <c r="B19" s="45" t="inlineStr">
        <is>
          <t>Sin declarar (multa media)</t>
        </is>
      </c>
      <c r="C19" s="45" t="n">
        <v>-5000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</cols>
  <sheetData>
    <row r="1" ht="30" customHeight="1">
      <c r="A1" s="46" t="inlineStr">
        <is>
          <t>ALQUILER SAN ANTONIO — CÁLCULO FISCAL (IBI+comunidad pagan inquilinos)</t>
        </is>
      </c>
    </row>
    <row r="2">
      <c r="A2" s="47" t="inlineStr">
        <is>
          <t>Concepto</t>
        </is>
      </c>
      <c r="B2" s="48" t="inlineStr">
        <is>
          <t>Importe</t>
        </is>
      </c>
      <c r="C2" s="49" t="inlineStr">
        <is>
          <t>Notas</t>
        </is>
      </c>
    </row>
    <row r="3">
      <c r="A3" s="50" t="inlineStr">
        <is>
          <t>Renta mensual</t>
        </is>
      </c>
      <c r="B3" s="51" t="inlineStr">
        <is>
          <t>1.850€</t>
        </is>
      </c>
      <c r="C3" s="27" t="inlineStr">
        <is>
          <t>Laura + Jamie</t>
        </is>
      </c>
      <c r="E3" t="inlineStr">
        <is>
          <t>Destino del alquiler</t>
        </is>
      </c>
    </row>
    <row r="4">
      <c r="A4" s="52" t="inlineStr">
        <is>
          <t>Renta anual bruta</t>
        </is>
      </c>
      <c r="B4" s="53" t="inlineStr">
        <is>
          <t>0€</t>
        </is>
      </c>
      <c r="C4" s="32" t="inlineStr">
        <is>
          <t>Lo pagan Laura/Jamie</t>
        </is>
      </c>
      <c r="E4" t="inlineStr">
        <is>
          <t>Te quedas neto</t>
        </is>
      </c>
      <c r="F4" t="n">
        <v>1608</v>
      </c>
    </row>
    <row r="5">
      <c r="A5" s="54" t="inlineStr">
        <is>
          <t>— IBI</t>
        </is>
      </c>
      <c r="B5" s="55" t="inlineStr">
        <is>
          <t>−300€</t>
        </is>
      </c>
      <c r="C5" s="30" t="inlineStr">
        <is>
          <t>Deducible</t>
        </is>
      </c>
      <c r="E5" t="inlineStr">
        <is>
          <t>IRPF extra</t>
        </is>
      </c>
      <c r="F5" t="n">
        <v>242</v>
      </c>
    </row>
    <row r="6">
      <c r="A6" s="54" t="inlineStr">
        <is>
          <t>— Seguro hogar</t>
        </is>
      </c>
      <c r="B6" s="55" t="inlineStr">
        <is>
          <t>0€</t>
        </is>
      </c>
      <c r="C6" s="30" t="inlineStr">
        <is>
          <t>Lo pagan Laura/Jamie</t>
        </is>
      </c>
      <c r="E6" t="inlineStr">
        <is>
          <t>Gastos deducibles</t>
        </is>
      </c>
      <c r="F6" t="n">
        <v>0</v>
      </c>
    </row>
    <row r="7">
      <c r="A7" s="54" t="inlineStr">
        <is>
          <t>— Comunidad propietarios</t>
        </is>
      </c>
      <c r="B7" s="55" t="inlineStr">
        <is>
          <t>−600€</t>
        </is>
      </c>
      <c r="C7" s="30" t="inlineStr">
        <is>
          <t>Deducible</t>
        </is>
      </c>
    </row>
    <row r="8">
      <c r="A8" s="54" t="inlineStr">
        <is>
          <t>— Amortización inmueble (3%)</t>
        </is>
      </c>
      <c r="B8" s="55" t="inlineStr">
        <is>
          <t>19.650€</t>
        </is>
      </c>
      <c r="C8" s="30" t="inlineStr">
        <is>
          <t>3% sobre valor construcción</t>
        </is>
      </c>
    </row>
    <row r="9">
      <c r="A9" s="56" t="inlineStr">
        <is>
          <t>Rendimiento neto previo</t>
        </is>
      </c>
      <c r="B9" s="57" t="inlineStr">
        <is>
          <t>−11.790€</t>
        </is>
      </c>
      <c r="C9" s="40" t="inlineStr"/>
    </row>
    <row r="10">
      <c r="A10" s="58" t="inlineStr">
        <is>
          <t>Reducción 60% (vivienda habitual)</t>
        </is>
      </c>
      <c r="B10" s="59" t="inlineStr">
        <is>
          <t>7.860€</t>
        </is>
      </c>
      <c r="C10" s="43" t="inlineStr">
        <is>
          <t>Inquilino usa como residencia</t>
        </is>
      </c>
    </row>
    <row r="11">
      <c r="A11" s="60" t="inlineStr">
        <is>
          <t>BASE QUE TRIBUTA EN IRPF</t>
        </is>
      </c>
      <c r="B11" s="61" t="inlineStr">
        <is>
          <t>~2.900€/año</t>
        </is>
      </c>
      <c r="C11" s="62" t="inlineStr">
        <is>
          <t>242€/mes extra</t>
        </is>
      </c>
    </row>
    <row r="12">
      <c r="A12" s="63" t="inlineStr">
        <is>
          <t>IRPF pagado extra (tramo 37%)</t>
        </is>
      </c>
      <c r="B12" s="64" t="inlineStr">
        <is>
          <t>~2.730€/año</t>
        </is>
      </c>
      <c r="C12" s="34" t="inlineStr">
        <is>
          <t>227€/mes extra</t>
        </is>
      </c>
    </row>
    <row r="13">
      <c r="A13" s="50" t="inlineStr"/>
      <c r="B13" s="51" t="inlineStr"/>
      <c r="C13" s="27" t="inlineStr"/>
    </row>
    <row r="14">
      <c r="A14" s="65" t="inlineStr">
        <is>
          <t>LO QUE TE QUEDA DEL ALQUILER</t>
        </is>
      </c>
      <c r="B14" s="66" t="inlineStr"/>
      <c r="C14" s="67" t="inlineStr"/>
    </row>
    <row r="15">
      <c r="A15" s="50" t="inlineStr">
        <is>
          <t>Ingreso mensual bruto</t>
        </is>
      </c>
      <c r="B15" s="51" t="inlineStr">
        <is>
          <t>1.850€/mes</t>
        </is>
      </c>
      <c r="C15" s="27" t="inlineStr"/>
    </row>
    <row r="16">
      <c r="A16" s="68" t="inlineStr">
        <is>
          <t>IRPF mensual extra</t>
        </is>
      </c>
      <c r="B16" s="69" t="inlineStr">
        <is>
          <t>−227€/mes</t>
        </is>
      </c>
      <c r="C16" s="44" t="inlineStr"/>
    </row>
    <row r="17">
      <c r="A17" s="68" t="inlineStr">
        <is>
          <t>Gastos prorrateados</t>
        </is>
      </c>
      <c r="B17" s="69" t="inlineStr">
        <is>
          <t>~1.608€/mes</t>
        </is>
      </c>
      <c r="C17" s="44" t="inlineStr">
        <is>
          <t>87% del bruto ✅</t>
        </is>
      </c>
    </row>
    <row r="18">
      <c r="A18" s="60" t="inlineStr">
        <is>
          <t>NETO REAL MENSUAL</t>
        </is>
      </c>
      <c r="B18" s="61" t="inlineStr">
        <is>
          <t>~1.308€/mes</t>
        </is>
      </c>
      <c r="C18" s="62" t="inlineStr">
        <is>
          <t>71% del bruto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2026-04-22T07:39:28Z</dcterms:created>
  <dcterms:modified xmlns:dcterms="http://purl.org/dc/terms/" xmlns:xsi="http://www.w3.org/2001/XMLSchema-instance" xsi:type="dcterms:W3CDTF">2026-04-22T07:47:52Z</dcterms:modified>
</cp:coreProperties>
</file>